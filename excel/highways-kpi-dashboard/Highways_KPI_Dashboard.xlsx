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lvi\Desktop\"/>
    </mc:Choice>
  </mc:AlternateContent>
  <xr:revisionPtr revIDLastSave="0" documentId="8_{4CDAD123-26B7-4661-8B4C-C5A7066697CB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Raw Data" sheetId="1" r:id="rId1"/>
    <sheet name="KPI Dashboard" sheetId="2" r:id="rId2"/>
    <sheet name="Trend Analysi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3" l="1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5" i="3"/>
  <c r="L25" i="2"/>
  <c r="K25" i="2"/>
  <c r="J25" i="2"/>
  <c r="I25" i="2"/>
  <c r="G25" i="2"/>
  <c r="F25" i="2"/>
  <c r="E25" i="2"/>
  <c r="D25" i="2"/>
  <c r="C25" i="2"/>
  <c r="M24" i="2"/>
  <c r="L24" i="2"/>
  <c r="K24" i="2"/>
  <c r="J24" i="2"/>
  <c r="I24" i="2"/>
  <c r="H24" i="2"/>
  <c r="G24" i="2"/>
  <c r="F24" i="2"/>
  <c r="E24" i="2"/>
  <c r="D24" i="2"/>
  <c r="C24" i="2"/>
  <c r="M23" i="2"/>
  <c r="L23" i="2"/>
  <c r="K23" i="2"/>
  <c r="J23" i="2"/>
  <c r="I23" i="2"/>
  <c r="H23" i="2"/>
  <c r="G23" i="2"/>
  <c r="F23" i="2"/>
  <c r="E23" i="2"/>
  <c r="D23" i="2"/>
  <c r="C23" i="2"/>
  <c r="M22" i="2"/>
  <c r="L22" i="2"/>
  <c r="K22" i="2"/>
  <c r="J22" i="2"/>
  <c r="I22" i="2"/>
  <c r="H22" i="2"/>
  <c r="G22" i="2"/>
  <c r="F22" i="2"/>
  <c r="E22" i="2"/>
  <c r="D22" i="2"/>
  <c r="C22" i="2"/>
  <c r="M21" i="2"/>
  <c r="L21" i="2"/>
  <c r="K21" i="2"/>
  <c r="J21" i="2"/>
  <c r="I21" i="2"/>
  <c r="H21" i="2"/>
  <c r="G21" i="2"/>
  <c r="F21" i="2"/>
  <c r="E21" i="2"/>
  <c r="D21" i="2"/>
  <c r="C21" i="2"/>
  <c r="M20" i="2"/>
  <c r="L20" i="2"/>
  <c r="K20" i="2"/>
  <c r="J20" i="2"/>
  <c r="I20" i="2"/>
  <c r="H20" i="2"/>
  <c r="G20" i="2"/>
  <c r="F20" i="2"/>
  <c r="E20" i="2"/>
  <c r="D20" i="2"/>
  <c r="C20" i="2"/>
  <c r="M19" i="2"/>
  <c r="L19" i="2"/>
  <c r="K19" i="2"/>
  <c r="J19" i="2"/>
  <c r="I19" i="2"/>
  <c r="H19" i="2"/>
  <c r="G19" i="2"/>
  <c r="F19" i="2"/>
  <c r="E19" i="2"/>
  <c r="D19" i="2"/>
  <c r="C19" i="2"/>
  <c r="M18" i="2"/>
  <c r="L18" i="2"/>
  <c r="K18" i="2"/>
  <c r="J18" i="2"/>
  <c r="I18" i="2"/>
  <c r="H18" i="2"/>
  <c r="G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M16" i="2"/>
  <c r="L16" i="2"/>
  <c r="K16" i="2"/>
  <c r="J16" i="2"/>
  <c r="I16" i="2"/>
  <c r="H16" i="2"/>
  <c r="G16" i="2"/>
  <c r="F16" i="2"/>
  <c r="E16" i="2"/>
  <c r="D16" i="2"/>
  <c r="C16" i="2"/>
  <c r="M15" i="2"/>
  <c r="L15" i="2"/>
  <c r="K15" i="2"/>
  <c r="J15" i="2"/>
  <c r="I15" i="2"/>
  <c r="H15" i="2"/>
  <c r="G15" i="2"/>
  <c r="F15" i="2"/>
  <c r="E15" i="2"/>
  <c r="D15" i="2"/>
  <c r="C15" i="2"/>
  <c r="M14" i="2"/>
  <c r="L14" i="2"/>
  <c r="K14" i="2"/>
  <c r="J14" i="2"/>
  <c r="I14" i="2"/>
  <c r="H14" i="2"/>
  <c r="G14" i="2"/>
  <c r="F14" i="2"/>
  <c r="E14" i="2"/>
  <c r="D14" i="2"/>
  <c r="C14" i="2"/>
  <c r="M13" i="2"/>
  <c r="L13" i="2"/>
  <c r="K13" i="2"/>
  <c r="J13" i="2"/>
  <c r="I13" i="2"/>
  <c r="H13" i="2"/>
  <c r="G13" i="2"/>
  <c r="F13" i="2"/>
  <c r="E13" i="2"/>
  <c r="D13" i="2"/>
  <c r="C13" i="2"/>
  <c r="K9" i="2"/>
  <c r="H9" i="2"/>
  <c r="E9" i="2"/>
  <c r="B9" i="2"/>
  <c r="L8" i="2"/>
  <c r="I8" i="2"/>
  <c r="F8" i="2"/>
  <c r="C8" i="2"/>
  <c r="L7" i="2"/>
  <c r="F7" i="2"/>
  <c r="C7" i="2"/>
  <c r="K5" i="2"/>
  <c r="H5" i="2"/>
  <c r="E5" i="2"/>
  <c r="B5" i="2"/>
</calcChain>
</file>

<file path=xl/sharedStrings.xml><?xml version="1.0" encoding="utf-8"?>
<sst xmlns="http://schemas.openxmlformats.org/spreadsheetml/2006/main" count="88" uniqueCount="49">
  <si>
    <t>Highways &amp; Engineering Division — Monthly Performance Data</t>
  </si>
  <si>
    <t>Bolton Council | Data Entry Sheet — Update monthly figures in blue cells</t>
  </si>
  <si>
    <t>Month</t>
  </si>
  <si>
    <t>Year</t>
  </si>
  <si>
    <t>Pothole Repairs
Completed</t>
  </si>
  <si>
    <t>Pothole Repair
Target</t>
  </si>
  <si>
    <t>Avg Response
Time (Days)</t>
  </si>
  <si>
    <t>Response Time
Target (Days)</t>
  </si>
  <si>
    <t>Planned
Maintenance Jobs</t>
  </si>
  <si>
    <t>Reactive
Maintenance Jobs</t>
  </si>
  <si>
    <t>Inspections
Completed</t>
  </si>
  <si>
    <t>Inspections
Target</t>
  </si>
  <si>
    <t>Complaints
Resolved in SLA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</si>
  <si>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</si>
  <si>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</si>
  <si>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</si>
  <si>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</si>
  <si>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</si>
  <si>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</si>
  <si>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</si>
  <si>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</si>
  <si>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</si>
  <si>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</si>
  <si>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</si>
  <si>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</si>
  <si>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HIGHWAYS &amp; ENGINEERING DIVISION</t>
  </si>
  <si>
    <t>Key Performance Indicator Dashboard  |  Bolton Council  |  Full Year 2025</t>
  </si>
  <si>
    <t>Pothole Repairs
Completed (YTD)</t>
  </si>
  <si>
    <t>Planned /
Reactive Ratio</t>
  </si>
  <si>
    <t>Inspection
Completion Rate</t>
  </si>
  <si>
    <t>Target</t>
  </si>
  <si>
    <t>"0.35 : 1"</t>
  </si>
  <si>
    <t>Achievement</t>
  </si>
  <si>
    <t>Monthly Performance Summary</t>
  </si>
  <si>
    <t>Repairs
Completed</t>
  </si>
  <si>
    <t>Repair
Target</t>
  </si>
  <si>
    <t>Repair
%</t>
  </si>
  <si>
    <t>Avg Response
(Days)</t>
  </si>
  <si>
    <t>Response
Target</t>
  </si>
  <si>
    <t>Response
RAG</t>
  </si>
  <si>
    <t>Inspections</t>
  </si>
  <si>
    <t>Insp.
Target</t>
  </si>
  <si>
    <t>Insp. %</t>
  </si>
  <si>
    <t>Complaints
in SLA %</t>
  </si>
  <si>
    <t>RAG Status</t>
  </si>
  <si>
    <t>TOTAL / AVG</t>
  </si>
  <si>
    <t>HIGHWAYS &amp; ENGINEERING — TREND ANALYSIS 2025</t>
  </si>
  <si>
    <t>Monthly trend charts for key performance indicators — Bolton Council</t>
  </si>
  <si>
    <t>Complaints
SLA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</si>
</sst>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495057"/>
      <name val="Arial"/>
      <charset val="1"/>
    </font>
    <font>
      <b/>
      <sz val="9"/>
      <color rgb="FFFFFFFF"/>
      <name val="Arial"/>
      <charset val="1"/>
    </font>
    <font>
      <b/>
      <sz val="10"/>
      <color rgb="FF1A2E4A"/>
      <name val="Arial"/>
      <charset val="1"/>
    </font>
    <font>
      <sz val="10"/>
      <color rgb="FF00008B"/>
      <name val="Arial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20"/>
      <color rgb="FF1A2E4A"/>
      <name val="Arial"/>
      <charset val="1"/>
    </font>
    <font>
      <b/>
      <sz val="8"/>
      <color rgb="FF495057"/>
      <name val="Arial"/>
      <charset val="1"/>
    </font>
    <font>
      <b/>
      <sz val="9"/>
      <color rgb="FF495057"/>
      <name val="Arial"/>
      <charset val="1"/>
    </font>
    <font>
      <sz val="8"/>
      <color rgb="FF495057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sz val="9"/>
      <color rgb="FF1A1A1A"/>
      <name val="Arial"/>
      <charset val="1"/>
    </font>
    <font>
      <i/>
      <sz val="9"/>
      <color rgb="FF495057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F2F4F7"/>
        <bgColor rgb="FFEBF3FB"/>
      </patternFill>
    </fill>
    <fill>
      <patternFill patternType="solid">
        <fgColor rgb="FF2E5FA3"/>
        <bgColor rgb="FF3366FF"/>
      </patternFill>
    </fill>
    <fill>
      <patternFill patternType="solid">
        <fgColor rgb="FFEBF3FB"/>
        <bgColor rgb="FFF2F4F7"/>
      </patternFill>
    </fill>
    <fill>
      <patternFill patternType="solid">
        <fgColor rgb="FFFFFFFF"/>
        <bgColor rgb="FFF9F9F9"/>
      </patternFill>
    </fill>
    <fill>
      <patternFill patternType="solid">
        <fgColor rgb="FF1E7E34"/>
        <bgColor rgb="FF008080"/>
      </patternFill>
    </fill>
    <fill>
      <patternFill patternType="solid">
        <fgColor rgb="FFE67E22"/>
        <bgColor rgb="FFFF9900"/>
      </patternFill>
    </fill>
  </fills>
  <borders count="5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B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BF3FB"/>
      <rgbColor rgb="FF660066"/>
      <rgbColor rgb="FFE74C3C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EE2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495057"/>
      <rgbColor rgb="FF969696"/>
      <rgbColor rgb="FF003366"/>
      <rgbColor rgb="FF27AE60"/>
      <rgbColor rgb="FF003300"/>
      <rgbColor rgb="FF1A1A1A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Pothole Repairs: Completed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Analysis'!$B$4</c:f>
              <c:strCache>
                <c:ptCount val="1"/>
                <c:pt idx="0">
                  <c:v>Repairs
Completed</c:v>
                </c:pt>
              </c:strCache>
            </c:strRef>
          </c:tx>
          <c:spPr>
            <a:solidFill>
              <a:srgbClr val="2E5F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Analysis'!$B$5:$B$16</c:f>
              <c:numCache>
                <c:formatCode>General</c:formatCode>
                <c:ptCount val="12"/>
                <c:pt idx="0">
                  <c:v>142</c:v>
                </c:pt>
                <c:pt idx="1">
                  <c:v>138</c:v>
                </c:pt>
                <c:pt idx="2">
                  <c:v>155</c:v>
                </c:pt>
                <c:pt idx="3">
                  <c:v>161</c:v>
                </c:pt>
                <c:pt idx="4">
                  <c:v>173</c:v>
                </c:pt>
                <c:pt idx="5">
                  <c:v>168</c:v>
                </c:pt>
                <c:pt idx="6">
                  <c:v>159</c:v>
                </c:pt>
                <c:pt idx="7">
                  <c:v>145</c:v>
                </c:pt>
                <c:pt idx="8">
                  <c:v>152</c:v>
                </c:pt>
                <c:pt idx="9">
                  <c:v>148</c:v>
                </c:pt>
                <c:pt idx="10">
                  <c:v>134</c:v>
                </c:pt>
                <c:pt idx="11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8-4047-86E0-3B605D612B1C}"/>
            </c:ext>
          </c:extLst>
        </c:ser>
        <c:ser>
          <c:idx val="1"/>
          <c:order val="1"/>
          <c:tx>
            <c:strRef>
              <c:f>'Trend Analysis'!$C$4</c:f>
              <c:strCache>
                <c:ptCount val="1"/>
                <c:pt idx="0">
                  <c:v>Repair
Target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Analysis'!$C$5:$C$16</c:f>
              <c:numCache>
                <c:formatCode>General</c:formatCode>
                <c:ptCount val="1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8-4047-86E0-3B605D612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3154"/>
        <c:axId val="82541551"/>
      </c:barChart>
      <c:catAx>
        <c:axId val="8013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541551"/>
        <c:crosses val="autoZero"/>
        <c:auto val="1"/>
        <c:lblAlgn val="ctr"/>
        <c:lblOffset val="100"/>
        <c:noMultiLvlLbl val="0"/>
      </c:catAx>
      <c:valAx>
        <c:axId val="82541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Number of Repairs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3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Response Time vs Target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Analysis'!$D$4</c:f>
              <c:strCache>
                <c:ptCount val="1"/>
                <c:pt idx="0">
                  <c:v>Avg Response
(Days)</c:v>
                </c:pt>
              </c:strCache>
            </c:strRef>
          </c:tx>
          <c:spPr>
            <a:ln w="24840">
              <a:solidFill>
                <a:srgbClr val="2E5FA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Analysis'!$D$5:$D$16</c:f>
              <c:numCache>
                <c:formatCode>General</c:formatCode>
                <c:ptCount val="12"/>
                <c:pt idx="0">
                  <c:v>4.2</c:v>
                </c:pt>
                <c:pt idx="1">
                  <c:v>4.8</c:v>
                </c:pt>
                <c:pt idx="2">
                  <c:v>3.9</c:v>
                </c:pt>
                <c:pt idx="3">
                  <c:v>3.5</c:v>
                </c:pt>
                <c:pt idx="4">
                  <c:v>3.2</c:v>
                </c:pt>
                <c:pt idx="5">
                  <c:v>3.8</c:v>
                </c:pt>
                <c:pt idx="6">
                  <c:v>4.0999999999999996</c:v>
                </c:pt>
                <c:pt idx="7">
                  <c:v>4.5999999999999996</c:v>
                </c:pt>
                <c:pt idx="8">
                  <c:v>4.3</c:v>
                </c:pt>
                <c:pt idx="9">
                  <c:v>4.7</c:v>
                </c:pt>
                <c:pt idx="10">
                  <c:v>5.0999999999999996</c:v>
                </c:pt>
                <c:pt idx="11">
                  <c:v>5.4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A3-4BA6-91D3-BFAF9E2D9920}"/>
            </c:ext>
          </c:extLst>
        </c:ser>
        <c:ser>
          <c:idx val="1"/>
          <c:order val="1"/>
          <c:tx>
            <c:strRef>
              <c:f>'Trend Analysis'!$E$4</c:f>
              <c:strCache>
                <c:ptCount val="1"/>
                <c:pt idx="0">
                  <c:v>Response
Target</c:v>
                </c:pt>
              </c:strCache>
            </c:strRef>
          </c:tx>
          <c:spPr>
            <a:ln w="2016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Analysis'!$E$5:$E$16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A3-4BA6-91D3-BFAF9E2D9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39815"/>
        <c:axId val="96223698"/>
      </c:lineChart>
      <c:catAx>
        <c:axId val="26398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23698"/>
        <c:crosses val="autoZero"/>
        <c:auto val="1"/>
        <c:lblAlgn val="ctr"/>
        <c:lblOffset val="100"/>
        <c:noMultiLvlLbl val="0"/>
      </c:catAx>
      <c:valAx>
        <c:axId val="96223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9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Inspections Completed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Analysis'!$F$4</c:f>
              <c:strCache>
                <c:ptCount val="1"/>
                <c:pt idx="0">
                  <c:v>Inspections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Analysis'!$F$5:$F$16</c:f>
              <c:numCache>
                <c:formatCode>General</c:formatCode>
                <c:ptCount val="12"/>
                <c:pt idx="0">
                  <c:v>28</c:v>
                </c:pt>
                <c:pt idx="1">
                  <c:v>26</c:v>
                </c:pt>
                <c:pt idx="2">
                  <c:v>31</c:v>
                </c:pt>
                <c:pt idx="3">
                  <c:v>30</c:v>
                </c:pt>
                <c:pt idx="4">
                  <c:v>32</c:v>
                </c:pt>
                <c:pt idx="5">
                  <c:v>29</c:v>
                </c:pt>
                <c:pt idx="6">
                  <c:v>31</c:v>
                </c:pt>
                <c:pt idx="7">
                  <c:v>27</c:v>
                </c:pt>
                <c:pt idx="8">
                  <c:v>30</c:v>
                </c:pt>
                <c:pt idx="9">
                  <c:v>28</c:v>
                </c:pt>
                <c:pt idx="10">
                  <c:v>25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1-4577-84FF-F3E6C989F582}"/>
            </c:ext>
          </c:extLst>
        </c:ser>
        <c:ser>
          <c:idx val="1"/>
          <c:order val="1"/>
          <c:tx>
            <c:strRef>
              <c:f>'Trend Analysis'!$G$4</c:f>
              <c:strCache>
                <c:ptCount val="1"/>
                <c:pt idx="0">
                  <c:v>Insp.
Target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Analysis'!$G$5:$G$16</c:f>
              <c:numCache>
                <c:formatCode>General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1-4577-84FF-F3E6C989F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28986"/>
        <c:axId val="50462738"/>
      </c:barChart>
      <c:catAx>
        <c:axId val="55128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2738"/>
        <c:crosses val="autoZero"/>
        <c:auto val="1"/>
        <c:lblAlgn val="ctr"/>
        <c:lblOffset val="100"/>
        <c:noMultiLvlLbl val="0"/>
      </c:catAx>
      <c:valAx>
        <c:axId val="50462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Inspections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28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261720</xdr:colOff>
      <xdr:row>35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45720</xdr:colOff>
      <xdr:row>1</xdr:row>
      <xdr:rowOff>0</xdr:rowOff>
    </xdr:from>
    <xdr:to>
      <xdr:col>17</xdr:col>
      <xdr:colOff>301680</xdr:colOff>
      <xdr:row>17</xdr:row>
      <xdr:rowOff>140160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274320</xdr:colOff>
      <xdr:row>17</xdr:row>
      <xdr:rowOff>68580</xdr:rowOff>
    </xdr:from>
    <xdr:to>
      <xdr:col>16</xdr:col>
      <xdr:colOff>238860</xdr:colOff>
      <xdr:row>36</xdr:row>
      <xdr:rowOff>56340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K15"/>
  <sheetViews>
    <sheetView tabSelected="1" zoomScaleNormal="100" workbookViewId="0">
      <selection activeCell="E25" sqref="E25"/>
    </sheetView>
  </sheetViews>
  <sheetFormatPr defaultColWidth="8.6640625" defaultRowHeight="14.4" x14ac:dyDescent="0.3"/>
  <cols>
    <col min="1" max="1" width="8" customWidth="1"/>
    <col min="2" max="2" width="6" customWidth="1"/>
    <col min="3" max="8" width="14" customWidth="1"/>
    <col min="9" max="10" width="13" customWidth="1"/>
    <col min="11" max="11" width="16" customWidth="1"/>
  </cols>
  <sheetData>
    <row r="1" spans="1:11" ht="27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" customHeight="1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6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</row>
    <row r="4" spans="1:11" ht="18" customHeight="1" x14ac:dyDescent="0.3">
      <c r="A4" s="16" t="s">
        <v>13</v>
      </c>
      <c r="B4" s="16">
        <v>2025</v>
      </c>
      <c r="C4" s="17">
        <v>142</v>
      </c>
      <c r="D4" s="17">
        <v>150</v>
      </c>
      <c r="E4" s="17">
        <v>4.2</v>
      </c>
      <c r="F4" s="17">
        <v>5</v>
      </c>
      <c r="G4" s="17">
        <v>38</v>
      </c>
      <c r="H4" s="17">
        <v>104</v>
      </c>
      <c r="I4" s="17">
        <v>28</v>
      </c>
      <c r="J4" s="17">
        <v>30</v>
      </c>
      <c r="K4" s="17">
        <v>91</v>
      </c>
    </row>
    <row r="5" spans="1:11" ht="18" customHeight="1" x14ac:dyDescent="0.3">
      <c r="A5" s="16" t="s">
        <v>14</v>
      </c>
      <c r="B5" s="16">
        <v>2025</v>
      </c>
      <c r="C5" s="17">
        <v>138</v>
      </c>
      <c r="D5" s="17">
        <v>150</v>
      </c>
      <c r="E5" s="17">
        <v>4.8</v>
      </c>
      <c r="F5" s="17">
        <v>5</v>
      </c>
      <c r="G5" s="17">
        <v>35</v>
      </c>
      <c r="H5" s="17">
        <v>103</v>
      </c>
      <c r="I5" s="17">
        <v>26</v>
      </c>
      <c r="J5" s="17">
        <v>30</v>
      </c>
      <c r="K5" s="17">
        <v>88</v>
      </c>
    </row>
    <row r="6" spans="1:11" ht="18" customHeight="1" x14ac:dyDescent="0.3">
      <c r="A6" s="16" t="s">
        <v>15</v>
      </c>
      <c r="B6" s="16">
        <v>2025</v>
      </c>
      <c r="C6" s="17">
        <v>155</v>
      </c>
      <c r="D6" s="17">
        <v>150</v>
      </c>
      <c r="E6" s="17">
        <v>3.9</v>
      </c>
      <c r="F6" s="17">
        <v>5</v>
      </c>
      <c r="G6" s="17">
        <v>42</v>
      </c>
      <c r="H6" s="17">
        <v>113</v>
      </c>
      <c r="I6" s="17">
        <v>31</v>
      </c>
      <c r="J6" s="17">
        <v>30</v>
      </c>
      <c r="K6" s="17">
        <v>94</v>
      </c>
    </row>
    <row r="7" spans="1:11" ht="18" customHeight="1" x14ac:dyDescent="0.3">
      <c r="A7" s="16" t="s">
        <v>16</v>
      </c>
      <c r="B7" s="16">
        <v>2025</v>
      </c>
      <c r="C7" s="17">
        <v>161</v>
      </c>
      <c r="D7" s="17">
        <v>150</v>
      </c>
      <c r="E7" s="17">
        <v>3.5</v>
      </c>
      <c r="F7" s="17">
        <v>5</v>
      </c>
      <c r="G7" s="17">
        <v>45</v>
      </c>
      <c r="H7" s="17">
        <v>116</v>
      </c>
      <c r="I7" s="17">
        <v>30</v>
      </c>
      <c r="J7" s="17">
        <v>30</v>
      </c>
      <c r="K7" s="17">
        <v>97</v>
      </c>
    </row>
    <row r="8" spans="1:11" ht="18" customHeight="1" x14ac:dyDescent="0.3">
      <c r="A8" s="16" t="s">
        <v>17</v>
      </c>
      <c r="B8" s="16">
        <v>2025</v>
      </c>
      <c r="C8" s="17">
        <v>173</v>
      </c>
      <c r="D8" s="17">
        <v>150</v>
      </c>
      <c r="E8" s="17">
        <v>3.2</v>
      </c>
      <c r="F8" s="17">
        <v>5</v>
      </c>
      <c r="G8" s="17">
        <v>48</v>
      </c>
      <c r="H8" s="17">
        <v>125</v>
      </c>
      <c r="I8" s="17">
        <v>32</v>
      </c>
      <c r="J8" s="17">
        <v>30</v>
      </c>
      <c r="K8" s="17">
        <v>96</v>
      </c>
    </row>
    <row r="9" spans="1:11" ht="18" customHeight="1" x14ac:dyDescent="0.3">
      <c r="A9" s="16" t="s">
        <v>18</v>
      </c>
      <c r="B9" s="16">
        <v>2025</v>
      </c>
      <c r="C9" s="17">
        <v>168</v>
      </c>
      <c r="D9" s="17">
        <v>150</v>
      </c>
      <c r="E9" s="17">
        <v>3.8</v>
      </c>
      <c r="F9" s="17">
        <v>5</v>
      </c>
      <c r="G9" s="17">
        <v>44</v>
      </c>
      <c r="H9" s="17">
        <v>124</v>
      </c>
      <c r="I9" s="17">
        <v>29</v>
      </c>
      <c r="J9" s="17">
        <v>30</v>
      </c>
      <c r="K9" s="17">
        <v>92</v>
      </c>
    </row>
    <row r="10" spans="1:11" ht="18" customHeight="1" x14ac:dyDescent="0.3">
      <c r="A10" s="16" t="s">
        <v>19</v>
      </c>
      <c r="B10" s="16">
        <v>2025</v>
      </c>
      <c r="C10" s="17">
        <v>159</v>
      </c>
      <c r="D10" s="17">
        <v>150</v>
      </c>
      <c r="E10" s="17">
        <v>4.0999999999999996</v>
      </c>
      <c r="F10" s="17">
        <v>5</v>
      </c>
      <c r="G10" s="17">
        <v>40</v>
      </c>
      <c r="H10" s="17">
        <v>119</v>
      </c>
      <c r="I10" s="17">
        <v>31</v>
      </c>
      <c r="J10" s="17">
        <v>30</v>
      </c>
      <c r="K10" s="17">
        <v>90</v>
      </c>
    </row>
    <row r="11" spans="1:11" ht="18" customHeight="1" x14ac:dyDescent="0.3">
      <c r="A11" s="16" t="s">
        <v>20</v>
      </c>
      <c r="B11" s="16">
        <v>2025</v>
      </c>
      <c r="C11" s="17">
        <v>145</v>
      </c>
      <c r="D11" s="17">
        <v>150</v>
      </c>
      <c r="E11" s="17">
        <v>4.5999999999999996</v>
      </c>
      <c r="F11" s="17">
        <v>5</v>
      </c>
      <c r="G11" s="17">
        <v>37</v>
      </c>
      <c r="H11" s="17">
        <v>108</v>
      </c>
      <c r="I11" s="17">
        <v>27</v>
      </c>
      <c r="J11" s="17">
        <v>30</v>
      </c>
      <c r="K11" s="17">
        <v>85</v>
      </c>
    </row>
    <row r="12" spans="1:11" ht="18" customHeight="1" x14ac:dyDescent="0.3">
      <c r="A12" s="16" t="s">
        <v>21</v>
      </c>
      <c r="B12" s="16">
        <v>2025</v>
      </c>
      <c r="C12" s="17">
        <v>152</v>
      </c>
      <c r="D12" s="17">
        <v>150</v>
      </c>
      <c r="E12" s="17">
        <v>4.3</v>
      </c>
      <c r="F12" s="17">
        <v>5</v>
      </c>
      <c r="G12" s="17">
        <v>41</v>
      </c>
      <c r="H12" s="17">
        <v>111</v>
      </c>
      <c r="I12" s="17">
        <v>30</v>
      </c>
      <c r="J12" s="17">
        <v>30</v>
      </c>
      <c r="K12" s="17">
        <v>93</v>
      </c>
    </row>
    <row r="13" spans="1:11" ht="18" customHeight="1" x14ac:dyDescent="0.3">
      <c r="A13" s="16" t="s">
        <v>22</v>
      </c>
      <c r="B13" s="16">
        <v>2025</v>
      </c>
      <c r="C13" s="17">
        <v>148</v>
      </c>
      <c r="D13" s="17">
        <v>150</v>
      </c>
      <c r="E13" s="17">
        <v>4.7</v>
      </c>
      <c r="F13" s="17">
        <v>5</v>
      </c>
      <c r="G13" s="17">
        <v>39</v>
      </c>
      <c r="H13" s="17">
        <v>109</v>
      </c>
      <c r="I13" s="17">
        <v>28</v>
      </c>
      <c r="J13" s="17">
        <v>30</v>
      </c>
      <c r="K13" s="17">
        <v>89</v>
      </c>
    </row>
    <row r="14" spans="1:11" ht="18" customHeight="1" x14ac:dyDescent="0.3">
      <c r="A14" s="16" t="s">
        <v>23</v>
      </c>
      <c r="B14" s="16">
        <v>2025</v>
      </c>
      <c r="C14" s="17">
        <v>134</v>
      </c>
      <c r="D14" s="17">
        <v>150</v>
      </c>
      <c r="E14" s="17">
        <v>5.0999999999999996</v>
      </c>
      <c r="F14" s="17">
        <v>5</v>
      </c>
      <c r="G14" s="17">
        <v>34</v>
      </c>
      <c r="H14" s="17">
        <v>100</v>
      </c>
      <c r="I14" s="17">
        <v>25</v>
      </c>
      <c r="J14" s="17">
        <v>30</v>
      </c>
      <c r="K14" s="17">
        <v>82</v>
      </c>
    </row>
    <row r="15" spans="1:11" ht="18" customHeight="1" x14ac:dyDescent="0.3">
      <c r="A15" s="16" t="s">
        <v>24</v>
      </c>
      <c r="B15" s="16">
        <v>2025</v>
      </c>
      <c r="C15" s="17">
        <v>128</v>
      </c>
      <c r="D15" s="17">
        <v>150</v>
      </c>
      <c r="E15" s="17">
        <v>5.4</v>
      </c>
      <c r="F15" s="17">
        <v>5</v>
      </c>
      <c r="G15" s="17">
        <v>30</v>
      </c>
      <c r="H15" s="17">
        <v>98</v>
      </c>
      <c r="I15" s="17">
        <v>24</v>
      </c>
      <c r="J15" s="17">
        <v>30</v>
      </c>
      <c r="K15" s="17">
        <v>79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E34"/>
  </sheetPr>
  <dimension ref="A1:N25"/>
  <sheetViews>
    <sheetView showGridLines="0" zoomScaleNormal="100" workbookViewId="0">
      <selection activeCell="Q11" sqref="Q11"/>
    </sheetView>
  </sheetViews>
  <sheetFormatPr defaultColWidth="8.6640625" defaultRowHeight="14.4" x14ac:dyDescent="0.3"/>
  <cols>
    <col min="1" max="1" width="2" customWidth="1"/>
    <col min="2" max="2" width="8.77734375" customWidth="1"/>
    <col min="3" max="3" width="10" customWidth="1"/>
    <col min="4" max="4" width="8" customWidth="1"/>
    <col min="5" max="5" width="9.21875" customWidth="1"/>
    <col min="6" max="6" width="10" customWidth="1"/>
    <col min="7" max="7" width="9" customWidth="1"/>
    <col min="8" max="8" width="10" customWidth="1"/>
    <col min="9" max="9" width="9" customWidth="1"/>
    <col min="10" max="10" width="8" customWidth="1"/>
    <col min="11" max="11" width="8.77734375" customWidth="1"/>
    <col min="12" max="12" width="10" customWidth="1"/>
    <col min="13" max="13" width="11" customWidth="1"/>
    <col min="14" max="14" width="2" hidden="1" customWidth="1"/>
  </cols>
  <sheetData>
    <row r="1" spans="1:14" ht="31.5" customHeight="1" x14ac:dyDescent="0.3">
      <c r="A1" s="26" t="s">
        <v>25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customHeight="1" x14ac:dyDescent="0.3">
      <c r="A2" s="27" t="s">
        <v>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7.5" customHeight="1" x14ac:dyDescent="0.3"/>
    <row r="4" spans="1:14" ht="27.75" customHeight="1" x14ac:dyDescent="0.3">
      <c r="B4" s="28" t="s">
        <v>27</v>
      </c>
      <c r="C4" s="28"/>
      <c r="E4" s="28" t="s">
        <v>6</v>
      </c>
      <c r="F4" s="28"/>
      <c r="H4" s="28" t="s">
        <v>28</v>
      </c>
      <c r="I4" s="28"/>
      <c r="K4" s="28" t="s">
        <v>29</v>
      </c>
      <c r="L4" s="28"/>
    </row>
    <row r="5" spans="1:14" ht="19.5" customHeight="1" x14ac:dyDescent="0.3">
      <c r="B5" s="23">
        <f>SUM('Raw Data'!C4:C15)</f>
        <v>1803</v>
      </c>
      <c r="C5" s="23"/>
      <c r="E5" s="23">
        <f>AVERAGE('Raw Data'!E4:E15)</f>
        <v>4.3</v>
      </c>
      <c r="F5" s="23"/>
      <c r="H5" s="23" t="str">
        <f>TEXT(SUM('Raw Data'!G4:G15)/SUM('Raw Data'!H4:H15),"0.00")&amp;" : 1"</f>
        <v>0.36 : 1</v>
      </c>
      <c r="I5" s="23"/>
      <c r="K5" s="23">
        <f>SUM('Raw Data'!I4:I15)</f>
        <v>341</v>
      </c>
      <c r="L5" s="23"/>
    </row>
    <row r="6" spans="1:14" ht="19.5" customHeight="1" x14ac:dyDescent="0.3">
      <c r="B6" s="23"/>
      <c r="C6" s="23"/>
      <c r="E6" s="23"/>
      <c r="F6" s="23"/>
      <c r="H6" s="23"/>
      <c r="I6" s="23"/>
      <c r="K6" s="23"/>
      <c r="L6" s="23"/>
    </row>
    <row r="7" spans="1:14" ht="18" customHeight="1" x14ac:dyDescent="0.3">
      <c r="B7" s="2" t="s">
        <v>30</v>
      </c>
      <c r="C7" s="3">
        <f>SUM('Raw Data'!D4:D15)</f>
        <v>1800</v>
      </c>
      <c r="E7" s="2" t="s">
        <v>30</v>
      </c>
      <c r="F7" s="3">
        <f>AVERAGE('Raw Data'!F4:F15)</f>
        <v>5</v>
      </c>
      <c r="H7" s="2" t="s">
        <v>30</v>
      </c>
      <c r="I7" s="3" t="s">
        <v>31</v>
      </c>
      <c r="K7" s="2" t="s">
        <v>30</v>
      </c>
      <c r="L7" s="3">
        <f>SUM('Raw Data'!J4:J15)</f>
        <v>360</v>
      </c>
    </row>
    <row r="8" spans="1:14" ht="20.399999999999999" x14ac:dyDescent="0.3">
      <c r="B8" s="4" t="s">
        <v>32</v>
      </c>
      <c r="C8" s="5">
        <f>SUM('Raw Data'!C4:C15)/SUM('Raw Data'!D4:D15)</f>
        <v>1.0016666666666667</v>
      </c>
      <c r="E8" s="4" t="s">
        <v>32</v>
      </c>
      <c r="F8" s="5">
        <f>AVERAGE('Raw Data'!F4:F15)/AVERAGE('Raw Data'!E4:E15)</f>
        <v>1.1627906976744187</v>
      </c>
      <c r="H8" s="4" t="s">
        <v>32</v>
      </c>
      <c r="I8" s="5">
        <f>SUM('Raw Data'!G4:G15)/(SUM('Raw Data'!G4:G15)+SUM('Raw Data'!H4:H15))</f>
        <v>0.26234054353854686</v>
      </c>
      <c r="K8" s="4" t="s">
        <v>32</v>
      </c>
      <c r="L8" s="5">
        <f>SUM('Raw Data'!I4:I15)/SUM('Raw Data'!J4:J15)</f>
        <v>0.94722222222222219</v>
      </c>
    </row>
    <row r="9" spans="1:14" ht="27.75" customHeight="1" x14ac:dyDescent="0.3">
      <c r="B9" s="24" t="str">
        <f>IF(SUM('Raw Data'!C4:C15)/SUM('Raw Data'!D4:D15)&gt;=1,"✔ ON TARGET",IF(SUM('Raw Data'!C4:C15)/SUM('Raw Data'!D4:D15)&gt;=0.9,"⚠ NEAR TARGET","✘ BELOW TARGET"))</f>
        <v>✔ ON TARGET</v>
      </c>
      <c r="C9" s="24"/>
      <c r="E9" s="24" t="str">
        <f>IF(AVERAGE('Raw Data'!E4:E15)&lt;=AVERAGE('Raw Data'!F4:F15),"✔ ON TARGET",IF(AVERAGE('Raw Data'!E4:E15)&lt;=AVERAGE('Raw Data'!F4:F15)*1.1,"⚠ NEAR TARGET","✘ BELOW TARGET"))</f>
        <v>✔ ON TARGET</v>
      </c>
      <c r="F9" s="24"/>
      <c r="H9" s="25" t="str">
        <f>IF(SUM('Raw Data'!G4:G15)/SUM('Raw Data'!H4:H15)&gt;=0.35,"✔ ON TARGET","⚠ NEAR TARGET")</f>
        <v>✔ ON TARGET</v>
      </c>
      <c r="I9" s="25"/>
      <c r="K9" s="24" t="str">
        <f>IF(SUM('Raw Data'!I4:I15)/SUM('Raw Data'!J4:J15)&gt;=1,"✔ ON TARGET",IF(SUM('Raw Data'!I4:I15)/SUM('Raw Data'!J4:J15)&gt;=0.9,"⚠ NEAR TARGET","✘ BELOW TARGET"))</f>
        <v>⚠ NEAR TARGET</v>
      </c>
      <c r="L9" s="24"/>
    </row>
    <row r="10" spans="1:14" ht="9.75" customHeight="1" x14ac:dyDescent="0.3"/>
    <row r="11" spans="1:14" ht="21.75" customHeight="1" x14ac:dyDescent="0.3">
      <c r="B11" s="22" t="s">
        <v>33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ht="30" customHeight="1" x14ac:dyDescent="0.3">
      <c r="B12" s="6" t="s">
        <v>2</v>
      </c>
      <c r="C12" s="6" t="s">
        <v>34</v>
      </c>
      <c r="D12" s="6" t="s">
        <v>35</v>
      </c>
      <c r="E12" s="6" t="s">
        <v>36</v>
      </c>
      <c r="F12" s="6" t="s">
        <v>37</v>
      </c>
      <c r="G12" s="6" t="s">
        <v>38</v>
      </c>
      <c r="H12" s="6" t="s">
        <v>39</v>
      </c>
      <c r="I12" s="6" t="s">
        <v>40</v>
      </c>
      <c r="J12" s="6" t="s">
        <v>41</v>
      </c>
      <c r="K12" s="6" t="s">
        <v>42</v>
      </c>
      <c r="L12" s="6" t="s">
        <v>43</v>
      </c>
      <c r="M12" s="6" t="s">
        <v>44</v>
      </c>
    </row>
    <row r="13" spans="1:14" ht="15.75" customHeight="1" x14ac:dyDescent="0.3">
      <c r="B13" s="7" t="s">
        <v>13</v>
      </c>
      <c r="C13" s="7">
        <f>'Raw Data'!C4</f>
        <v>142</v>
      </c>
      <c r="D13" s="7">
        <f>'Raw Data'!D4</f>
        <v>150</v>
      </c>
      <c r="E13" s="7">
        <f>'Raw Data'!C4/'Raw Data'!D4</f>
        <v>0.94666666666666666</v>
      </c>
      <c r="F13" s="8">
        <f>'Raw Data'!E4</f>
        <v>4.2</v>
      </c>
      <c r="G13" s="7">
        <f>'Raw Data'!F4</f>
        <v>5</v>
      </c>
      <c r="H13" s="7" t="str">
        <f>IF('Raw Data'!E4&lt;='Raw Data'!F4,"✔",IF('Raw Data'!E4&lt;='Raw Data'!F4*1.1,"⚠","✘"))</f>
        <v>✔</v>
      </c>
      <c r="I13" s="7">
        <f>'Raw Data'!I4</f>
        <v>28</v>
      </c>
      <c r="J13" s="7">
        <f>'Raw Data'!J4</f>
        <v>30</v>
      </c>
      <c r="K13" s="8">
        <f>'Raw Data'!I4/'Raw Data'!J4</f>
        <v>0.93333333333333335</v>
      </c>
      <c r="L13" s="7">
        <f>'Raw Data'!K4/100</f>
        <v>0.91</v>
      </c>
      <c r="M13" s="7" t="str">
        <f>IF('Raw Data'!C4&gt;='Raw Data'!D4,"✔ On Target",IF('Raw Data'!C4&gt;='Raw Data'!D4*0.9,"⚠ Near Target","✘ Below"))</f>
        <v>⚠ Near Target</v>
      </c>
    </row>
    <row r="14" spans="1:14" ht="15.75" customHeight="1" x14ac:dyDescent="0.3">
      <c r="B14" s="9" t="s">
        <v>14</v>
      </c>
      <c r="C14" s="9">
        <f>'Raw Data'!C5</f>
        <v>138</v>
      </c>
      <c r="D14" s="9">
        <f>'Raw Data'!D5</f>
        <v>150</v>
      </c>
      <c r="E14" s="9">
        <f>'Raw Data'!C5/'Raw Data'!D5</f>
        <v>0.92</v>
      </c>
      <c r="F14" s="10">
        <f>'Raw Data'!E5</f>
        <v>4.8</v>
      </c>
      <c r="G14" s="9">
        <f>'Raw Data'!F5</f>
        <v>5</v>
      </c>
      <c r="H14" s="9" t="str">
        <f>IF('Raw Data'!E5&lt;='Raw Data'!F5,"✔",IF('Raw Data'!E5&lt;='Raw Data'!F5*1.1,"⚠","✘"))</f>
        <v>✔</v>
      </c>
      <c r="I14" s="9">
        <f>'Raw Data'!I5</f>
        <v>26</v>
      </c>
      <c r="J14" s="9">
        <f>'Raw Data'!J5</f>
        <v>30</v>
      </c>
      <c r="K14" s="10">
        <f>'Raw Data'!I5/'Raw Data'!J5</f>
        <v>0.8666666666666667</v>
      </c>
      <c r="L14" s="9">
        <f>'Raw Data'!K5/100</f>
        <v>0.88</v>
      </c>
      <c r="M14" s="9" t="str">
        <f>IF('Raw Data'!C5&gt;='Raw Data'!D5,"✔ On Target",IF('Raw Data'!C5&gt;='Raw Data'!D5*0.9,"⚠ Near Target","✘ Below"))</f>
        <v>⚠ Near Target</v>
      </c>
    </row>
    <row r="15" spans="1:14" ht="15.75" customHeight="1" x14ac:dyDescent="0.3">
      <c r="B15" s="7" t="s">
        <v>15</v>
      </c>
      <c r="C15" s="7">
        <f>'Raw Data'!C6</f>
        <v>155</v>
      </c>
      <c r="D15" s="7">
        <f>'Raw Data'!D6</f>
        <v>150</v>
      </c>
      <c r="E15" s="7">
        <f>'Raw Data'!C6/'Raw Data'!D6</f>
        <v>1.0333333333333334</v>
      </c>
      <c r="F15" s="8">
        <f>'Raw Data'!E6</f>
        <v>3.9</v>
      </c>
      <c r="G15" s="7">
        <f>'Raw Data'!F6</f>
        <v>5</v>
      </c>
      <c r="H15" s="7" t="str">
        <f>IF('Raw Data'!E6&lt;='Raw Data'!F6,"✔",IF('Raw Data'!E6&lt;='Raw Data'!F6*1.1,"⚠","✘"))</f>
        <v>✔</v>
      </c>
      <c r="I15" s="7">
        <f>'Raw Data'!I6</f>
        <v>31</v>
      </c>
      <c r="J15" s="7">
        <f>'Raw Data'!J6</f>
        <v>30</v>
      </c>
      <c r="K15" s="8">
        <f>'Raw Data'!I6/'Raw Data'!J6</f>
        <v>1.0333333333333334</v>
      </c>
      <c r="L15" s="7">
        <f>'Raw Data'!K6/100</f>
        <v>0.94</v>
      </c>
      <c r="M15" s="7" t="str">
        <f>IF('Raw Data'!C6&gt;='Raw Data'!D6,"✔ On Target",IF('Raw Data'!C6&gt;='Raw Data'!D6*0.9,"⚠ Near Target","✘ Below"))</f>
        <v>✔ On Target</v>
      </c>
    </row>
    <row r="16" spans="1:14" ht="15.75" customHeight="1" x14ac:dyDescent="0.3">
      <c r="B16" s="9" t="s">
        <v>16</v>
      </c>
      <c r="C16" s="9">
        <f>'Raw Data'!C7</f>
        <v>161</v>
      </c>
      <c r="D16" s="9">
        <f>'Raw Data'!D7</f>
        <v>150</v>
      </c>
      <c r="E16" s="9">
        <f>'Raw Data'!C7/'Raw Data'!D7</f>
        <v>1.0733333333333333</v>
      </c>
      <c r="F16" s="10">
        <f>'Raw Data'!E7</f>
        <v>3.5</v>
      </c>
      <c r="G16" s="9">
        <f>'Raw Data'!F7</f>
        <v>5</v>
      </c>
      <c r="H16" s="9" t="str">
        <f>IF('Raw Data'!E7&lt;='Raw Data'!F7,"✔",IF('Raw Data'!E7&lt;='Raw Data'!F7*1.1,"⚠","✘"))</f>
        <v>✔</v>
      </c>
      <c r="I16" s="9">
        <f>'Raw Data'!I7</f>
        <v>30</v>
      </c>
      <c r="J16" s="9">
        <f>'Raw Data'!J7</f>
        <v>30</v>
      </c>
      <c r="K16" s="10">
        <f>'Raw Data'!I7/'Raw Data'!J7</f>
        <v>1</v>
      </c>
      <c r="L16" s="9">
        <f>'Raw Data'!K7/100</f>
        <v>0.97</v>
      </c>
      <c r="M16" s="9" t="str">
        <f>IF('Raw Data'!C7&gt;='Raw Data'!D7,"✔ On Target",IF('Raw Data'!C7&gt;='Raw Data'!D7*0.9,"⚠ Near Target","✘ Below"))</f>
        <v>✔ On Target</v>
      </c>
    </row>
    <row r="17" spans="2:13" ht="15.75" customHeight="1" x14ac:dyDescent="0.3">
      <c r="B17" s="7" t="s">
        <v>17</v>
      </c>
      <c r="C17" s="7">
        <f>'Raw Data'!C8</f>
        <v>173</v>
      </c>
      <c r="D17" s="7">
        <f>'Raw Data'!D8</f>
        <v>150</v>
      </c>
      <c r="E17" s="7">
        <f>'Raw Data'!C8/'Raw Data'!D8</f>
        <v>1.1533333333333333</v>
      </c>
      <c r="F17" s="8">
        <f>'Raw Data'!E8</f>
        <v>3.2</v>
      </c>
      <c r="G17" s="7">
        <f>'Raw Data'!F8</f>
        <v>5</v>
      </c>
      <c r="H17" s="7" t="str">
        <f>IF('Raw Data'!E8&lt;='Raw Data'!F8,"✔",IF('Raw Data'!E8&lt;='Raw Data'!F8*1.1,"⚠","✘"))</f>
        <v>✔</v>
      </c>
      <c r="I17" s="7">
        <f>'Raw Data'!I8</f>
        <v>32</v>
      </c>
      <c r="J17" s="7">
        <f>'Raw Data'!J8</f>
        <v>30</v>
      </c>
      <c r="K17" s="8">
        <f>'Raw Data'!I8/'Raw Data'!J8</f>
        <v>1.0666666666666667</v>
      </c>
      <c r="L17" s="7">
        <f>'Raw Data'!K8/100</f>
        <v>0.96</v>
      </c>
      <c r="M17" s="7" t="str">
        <f>IF('Raw Data'!C8&gt;='Raw Data'!D8,"✔ On Target",IF('Raw Data'!C8&gt;='Raw Data'!D8*0.9,"⚠ Near Target","✘ Below"))</f>
        <v>✔ On Target</v>
      </c>
    </row>
    <row r="18" spans="2:13" ht="15.75" customHeight="1" x14ac:dyDescent="0.3">
      <c r="B18" s="9" t="s">
        <v>18</v>
      </c>
      <c r="C18" s="9">
        <f>'Raw Data'!C9</f>
        <v>168</v>
      </c>
      <c r="D18" s="9">
        <f>'Raw Data'!D9</f>
        <v>150</v>
      </c>
      <c r="E18" s="9">
        <f>'Raw Data'!C9/'Raw Data'!D9</f>
        <v>1.1200000000000001</v>
      </c>
      <c r="F18" s="10">
        <f>'Raw Data'!E9</f>
        <v>3.8</v>
      </c>
      <c r="G18" s="9">
        <f>'Raw Data'!F9</f>
        <v>5</v>
      </c>
      <c r="H18" s="9" t="str">
        <f>IF('Raw Data'!E9&lt;='Raw Data'!F9,"✔",IF('Raw Data'!E9&lt;='Raw Data'!F9*1.1,"⚠","✘"))</f>
        <v>✔</v>
      </c>
      <c r="I18" s="9">
        <f>'Raw Data'!I9</f>
        <v>29</v>
      </c>
      <c r="J18" s="9">
        <f>'Raw Data'!J9</f>
        <v>30</v>
      </c>
      <c r="K18" s="10">
        <f>'Raw Data'!I9/'Raw Data'!J9</f>
        <v>0.96666666666666667</v>
      </c>
      <c r="L18" s="9">
        <f>'Raw Data'!K9/100</f>
        <v>0.92</v>
      </c>
      <c r="M18" s="9" t="str">
        <f>IF('Raw Data'!C9&gt;='Raw Data'!D9,"✔ On Target",IF('Raw Data'!C9&gt;='Raw Data'!D9*0.9,"⚠ Near Target","✘ Below"))</f>
        <v>✔ On Target</v>
      </c>
    </row>
    <row r="19" spans="2:13" ht="15.75" customHeight="1" x14ac:dyDescent="0.3">
      <c r="B19" s="7" t="s">
        <v>19</v>
      </c>
      <c r="C19" s="7">
        <f>'Raw Data'!C10</f>
        <v>159</v>
      </c>
      <c r="D19" s="7">
        <f>'Raw Data'!D10</f>
        <v>150</v>
      </c>
      <c r="E19" s="7">
        <f>'Raw Data'!C10/'Raw Data'!D10</f>
        <v>1.06</v>
      </c>
      <c r="F19" s="8">
        <f>'Raw Data'!E10</f>
        <v>4.0999999999999996</v>
      </c>
      <c r="G19" s="7">
        <f>'Raw Data'!F10</f>
        <v>5</v>
      </c>
      <c r="H19" s="7" t="str">
        <f>IF('Raw Data'!E10&lt;='Raw Data'!F10,"✔",IF('Raw Data'!E10&lt;='Raw Data'!F10*1.1,"⚠","✘"))</f>
        <v>✔</v>
      </c>
      <c r="I19" s="7">
        <f>'Raw Data'!I10</f>
        <v>31</v>
      </c>
      <c r="J19" s="7">
        <f>'Raw Data'!J10</f>
        <v>30</v>
      </c>
      <c r="K19" s="8">
        <f>'Raw Data'!I10/'Raw Data'!J10</f>
        <v>1.0333333333333334</v>
      </c>
      <c r="L19" s="7">
        <f>'Raw Data'!K10/100</f>
        <v>0.9</v>
      </c>
      <c r="M19" s="7" t="str">
        <f>IF('Raw Data'!C10&gt;='Raw Data'!D10,"✔ On Target",IF('Raw Data'!C10&gt;='Raw Data'!D10*0.9,"⚠ Near Target","✘ Below"))</f>
        <v>✔ On Target</v>
      </c>
    </row>
    <row r="20" spans="2:13" ht="15.75" customHeight="1" x14ac:dyDescent="0.3">
      <c r="B20" s="9" t="s">
        <v>20</v>
      </c>
      <c r="C20" s="9">
        <f>'Raw Data'!C11</f>
        <v>145</v>
      </c>
      <c r="D20" s="9">
        <f>'Raw Data'!D11</f>
        <v>150</v>
      </c>
      <c r="E20" s="9">
        <f>'Raw Data'!C11/'Raw Data'!D11</f>
        <v>0.96666666666666667</v>
      </c>
      <c r="F20" s="10">
        <f>'Raw Data'!E11</f>
        <v>4.5999999999999996</v>
      </c>
      <c r="G20" s="9">
        <f>'Raw Data'!F11</f>
        <v>5</v>
      </c>
      <c r="H20" s="9" t="str">
        <f>IF('Raw Data'!E11&lt;='Raw Data'!F11,"✔",IF('Raw Data'!E11&lt;='Raw Data'!F11*1.1,"⚠","✘"))</f>
        <v>✔</v>
      </c>
      <c r="I20" s="9">
        <f>'Raw Data'!I11</f>
        <v>27</v>
      </c>
      <c r="J20" s="9">
        <f>'Raw Data'!J11</f>
        <v>30</v>
      </c>
      <c r="K20" s="10">
        <f>'Raw Data'!I11/'Raw Data'!J11</f>
        <v>0.9</v>
      </c>
      <c r="L20" s="9">
        <f>'Raw Data'!K11/100</f>
        <v>0.85</v>
      </c>
      <c r="M20" s="9" t="str">
        <f>IF('Raw Data'!C11&gt;='Raw Data'!D11,"✔ On Target",IF('Raw Data'!C11&gt;='Raw Data'!D11*0.9,"⚠ Near Target","✘ Below"))</f>
        <v>⚠ Near Target</v>
      </c>
    </row>
    <row r="21" spans="2:13" ht="15.75" customHeight="1" x14ac:dyDescent="0.3">
      <c r="B21" s="7" t="s">
        <v>21</v>
      </c>
      <c r="C21" s="7">
        <f>'Raw Data'!C12</f>
        <v>152</v>
      </c>
      <c r="D21" s="7">
        <f>'Raw Data'!D12</f>
        <v>150</v>
      </c>
      <c r="E21" s="7">
        <f>'Raw Data'!C12/'Raw Data'!D12</f>
        <v>1.0133333333333334</v>
      </c>
      <c r="F21" s="8">
        <f>'Raw Data'!E12</f>
        <v>4.3</v>
      </c>
      <c r="G21" s="7">
        <f>'Raw Data'!F12</f>
        <v>5</v>
      </c>
      <c r="H21" s="7" t="str">
        <f>IF('Raw Data'!E12&lt;='Raw Data'!F12,"✔",IF('Raw Data'!E12&lt;='Raw Data'!F12*1.1,"⚠","✘"))</f>
        <v>✔</v>
      </c>
      <c r="I21" s="7">
        <f>'Raw Data'!I12</f>
        <v>30</v>
      </c>
      <c r="J21" s="7">
        <f>'Raw Data'!J12</f>
        <v>30</v>
      </c>
      <c r="K21" s="8">
        <f>'Raw Data'!I12/'Raw Data'!J12</f>
        <v>1</v>
      </c>
      <c r="L21" s="7">
        <f>'Raw Data'!K12/100</f>
        <v>0.93</v>
      </c>
      <c r="M21" s="7" t="str">
        <f>IF('Raw Data'!C12&gt;='Raw Data'!D12,"✔ On Target",IF('Raw Data'!C12&gt;='Raw Data'!D12*0.9,"⚠ Near Target","✘ Below"))</f>
        <v>✔ On Target</v>
      </c>
    </row>
    <row r="22" spans="2:13" ht="15.75" customHeight="1" x14ac:dyDescent="0.3">
      <c r="B22" s="9" t="s">
        <v>22</v>
      </c>
      <c r="C22" s="9">
        <f>'Raw Data'!C13</f>
        <v>148</v>
      </c>
      <c r="D22" s="9">
        <f>'Raw Data'!D13</f>
        <v>150</v>
      </c>
      <c r="E22" s="9">
        <f>'Raw Data'!C13/'Raw Data'!D13</f>
        <v>0.98666666666666669</v>
      </c>
      <c r="F22" s="10">
        <f>'Raw Data'!E13</f>
        <v>4.7</v>
      </c>
      <c r="G22" s="9">
        <f>'Raw Data'!F13</f>
        <v>5</v>
      </c>
      <c r="H22" s="9" t="str">
        <f>IF('Raw Data'!E13&lt;='Raw Data'!F13,"✔",IF('Raw Data'!E13&lt;='Raw Data'!F13*1.1,"⚠","✘"))</f>
        <v>✔</v>
      </c>
      <c r="I22" s="9">
        <f>'Raw Data'!I13</f>
        <v>28</v>
      </c>
      <c r="J22" s="9">
        <f>'Raw Data'!J13</f>
        <v>30</v>
      </c>
      <c r="K22" s="10">
        <f>'Raw Data'!I13/'Raw Data'!J13</f>
        <v>0.93333333333333335</v>
      </c>
      <c r="L22" s="9">
        <f>'Raw Data'!K13/100</f>
        <v>0.89</v>
      </c>
      <c r="M22" s="9" t="str">
        <f>IF('Raw Data'!C13&gt;='Raw Data'!D13,"✔ On Target",IF('Raw Data'!C13&gt;='Raw Data'!D13*0.9,"⚠ Near Target","✘ Below"))</f>
        <v>⚠ Near Target</v>
      </c>
    </row>
    <row r="23" spans="2:13" ht="15.75" customHeight="1" x14ac:dyDescent="0.3">
      <c r="B23" s="7" t="s">
        <v>23</v>
      </c>
      <c r="C23" s="7">
        <f>'Raw Data'!C14</f>
        <v>134</v>
      </c>
      <c r="D23" s="7">
        <f>'Raw Data'!D14</f>
        <v>150</v>
      </c>
      <c r="E23" s="7">
        <f>'Raw Data'!C14/'Raw Data'!D14</f>
        <v>0.89333333333333331</v>
      </c>
      <c r="F23" s="8">
        <f>'Raw Data'!E14</f>
        <v>5.0999999999999996</v>
      </c>
      <c r="G23" s="7">
        <f>'Raw Data'!F14</f>
        <v>5</v>
      </c>
      <c r="H23" s="7" t="str">
        <f>IF('Raw Data'!E14&lt;='Raw Data'!F14,"✔",IF('Raw Data'!E14&lt;='Raw Data'!F14*1.1,"⚠","✘"))</f>
        <v>⚠</v>
      </c>
      <c r="I23" s="7">
        <f>'Raw Data'!I14</f>
        <v>25</v>
      </c>
      <c r="J23" s="7">
        <f>'Raw Data'!J14</f>
        <v>30</v>
      </c>
      <c r="K23" s="8">
        <f>'Raw Data'!I14/'Raw Data'!J14</f>
        <v>0.83333333333333337</v>
      </c>
      <c r="L23" s="7">
        <f>'Raw Data'!K14/100</f>
        <v>0.82</v>
      </c>
      <c r="M23" s="7" t="str">
        <f>IF('Raw Data'!C14&gt;='Raw Data'!D14,"✔ On Target",IF('Raw Data'!C14&gt;='Raw Data'!D14*0.9,"⚠ Near Target","✘ Below"))</f>
        <v>✘ Below</v>
      </c>
    </row>
    <row r="24" spans="2:13" x14ac:dyDescent="0.3">
      <c r="B24" s="9" t="s">
        <v>24</v>
      </c>
      <c r="C24" s="9">
        <f>'Raw Data'!C15</f>
        <v>128</v>
      </c>
      <c r="D24" s="9">
        <f>'Raw Data'!D15</f>
        <v>150</v>
      </c>
      <c r="E24" s="9">
        <f>'Raw Data'!C15/'Raw Data'!D15</f>
        <v>0.85333333333333339</v>
      </c>
      <c r="F24" s="10">
        <f>'Raw Data'!E15</f>
        <v>5.4</v>
      </c>
      <c r="G24" s="9">
        <f>'Raw Data'!F15</f>
        <v>5</v>
      </c>
      <c r="H24" s="9" t="str">
        <f>IF('Raw Data'!E15&lt;='Raw Data'!F15,"✔",IF('Raw Data'!E15&lt;='Raw Data'!F15*1.1,"⚠","✘"))</f>
        <v>⚠</v>
      </c>
      <c r="I24" s="9">
        <f>'Raw Data'!I15</f>
        <v>24</v>
      </c>
      <c r="J24" s="9">
        <f>'Raw Data'!J15</f>
        <v>30</v>
      </c>
      <c r="K24" s="10">
        <f>'Raw Data'!I15/'Raw Data'!J15</f>
        <v>0.8</v>
      </c>
      <c r="L24" s="9">
        <f>'Raw Data'!K15/100</f>
        <v>0.79</v>
      </c>
      <c r="M24" s="9" t="str">
        <f>IF('Raw Data'!C15&gt;='Raw Data'!D15,"✔ On Target",IF('Raw Data'!C15&gt;='Raw Data'!D15*0.9,"⚠ Near Target","✘ Below"))</f>
        <v>✘ Below</v>
      </c>
    </row>
    <row r="25" spans="2:13" ht="24" x14ac:dyDescent="0.3">
      <c r="B25" s="11" t="s">
        <v>45</v>
      </c>
      <c r="C25" s="12">
        <f>SUM('Raw Data'!C4:C15)</f>
        <v>1803</v>
      </c>
      <c r="D25" s="12">
        <f>SUM('Raw Data'!D4:D15)</f>
        <v>1800</v>
      </c>
      <c r="E25" s="13">
        <f>SUM('Raw Data'!C4:C15)/SUM('Raw Data'!D4:D15)</f>
        <v>1.0016666666666667</v>
      </c>
      <c r="F25" s="14">
        <f>AVERAGE('Raw Data'!E4:E15)</f>
        <v>4.3</v>
      </c>
      <c r="G25" s="14">
        <f>AVERAGE('Raw Data'!F4:F15)</f>
        <v>5</v>
      </c>
      <c r="H25" s="11"/>
      <c r="I25" s="12">
        <f>SUM('Raw Data'!I4:I15)</f>
        <v>341</v>
      </c>
      <c r="J25" s="12">
        <f>SUM('Raw Data'!J4:J15)</f>
        <v>360</v>
      </c>
      <c r="K25" s="13">
        <f>SUM('Raw Data'!I4:I15)/SUM('Raw Data'!J4:J15)</f>
        <v>0.94722222222222219</v>
      </c>
      <c r="L25" s="13">
        <f>AVERAGE('Raw Data'!K4:K15)/100</f>
        <v>0.89666666666666672</v>
      </c>
      <c r="M25" s="11"/>
    </row>
  </sheetData>
  <mergeCells count="15">
    <mergeCell ref="A1:N1"/>
    <mergeCell ref="A2:N2"/>
    <mergeCell ref="B4:C4"/>
    <mergeCell ref="E4:F4"/>
    <mergeCell ref="H4:I4"/>
    <mergeCell ref="K4:L4"/>
    <mergeCell ref="B11:N11"/>
    <mergeCell ref="B5:C6"/>
    <mergeCell ref="E5:F6"/>
    <mergeCell ref="H5:I6"/>
    <mergeCell ref="K5:L6"/>
    <mergeCell ref="B9:C9"/>
    <mergeCell ref="E9:F9"/>
    <mergeCell ref="H9:I9"/>
    <mergeCell ref="K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L16"/>
  <sheetViews>
    <sheetView showGridLines="0" topLeftCell="A10" zoomScaleNormal="100" workbookViewId="0">
      <selection activeCell="V32" sqref="V32"/>
    </sheetView>
  </sheetViews>
  <sheetFormatPr defaultColWidth="8.6640625" defaultRowHeight="14.4" x14ac:dyDescent="0.3"/>
  <cols>
    <col min="1" max="1" width="8" customWidth="1"/>
    <col min="2" max="2" width="12" customWidth="1"/>
    <col min="3" max="3" width="10" customWidth="1"/>
    <col min="4" max="4" width="14" customWidth="1"/>
    <col min="5" max="5" width="13" customWidth="1"/>
    <col min="6" max="6" width="11" customWidth="1"/>
    <col min="7" max="7" width="10" customWidth="1"/>
    <col min="8" max="8" width="13" customWidth="1"/>
  </cols>
  <sheetData>
    <row r="1" spans="1:12" ht="27.75" customHeight="1" x14ac:dyDescent="0.3">
      <c r="A1" s="18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75" customHeight="1" x14ac:dyDescent="0.3">
      <c r="A2" s="19" t="s">
        <v>47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30" customHeight="1" x14ac:dyDescent="0.3">
      <c r="A4" s="1" t="s">
        <v>2</v>
      </c>
      <c r="B4" s="1" t="s">
        <v>34</v>
      </c>
      <c r="C4" s="1" t="s">
        <v>35</v>
      </c>
      <c r="D4" s="1" t="s">
        <v>37</v>
      </c>
      <c r="E4" s="1" t="s">
        <v>38</v>
      </c>
      <c r="F4" s="1" t="s">
        <v>40</v>
      </c>
      <c r="G4" s="1" t="s">
        <v>41</v>
      </c>
      <c r="H4" s="1" t="s">
        <v>48</v>
      </c>
    </row>
    <row r="5" spans="1:12" ht="15.75" customHeight="1" x14ac:dyDescent="0.3">
      <c r="A5" s="7" t="s">
        <v>13</v>
      </c>
      <c r="B5" s="7">
        <f>'Raw Data'!C4</f>
        <v>142</v>
      </c>
      <c r="C5" s="7">
        <f>'Raw Data'!D4</f>
        <v>150</v>
      </c>
      <c r="D5" s="7">
        <f>'Raw Data'!E4</f>
        <v>4.2</v>
      </c>
      <c r="E5" s="7">
        <f>'Raw Data'!F4</f>
        <v>5</v>
      </c>
      <c r="F5" s="7">
        <f>'Raw Data'!I4</f>
        <v>28</v>
      </c>
      <c r="G5" s="7">
        <f>'Raw Data'!J4</f>
        <v>30</v>
      </c>
      <c r="H5" s="7">
        <f>'Raw Data'!K4</f>
        <v>91</v>
      </c>
    </row>
    <row r="6" spans="1:12" ht="15.75" customHeight="1" x14ac:dyDescent="0.3">
      <c r="A6" s="9" t="s">
        <v>14</v>
      </c>
      <c r="B6" s="9">
        <f>'Raw Data'!C5</f>
        <v>138</v>
      </c>
      <c r="C6" s="9">
        <f>'Raw Data'!D5</f>
        <v>150</v>
      </c>
      <c r="D6" s="9">
        <f>'Raw Data'!E5</f>
        <v>4.8</v>
      </c>
      <c r="E6" s="9">
        <f>'Raw Data'!F5</f>
        <v>5</v>
      </c>
      <c r="F6" s="9">
        <f>'Raw Data'!I5</f>
        <v>26</v>
      </c>
      <c r="G6" s="9">
        <f>'Raw Data'!J5</f>
        <v>30</v>
      </c>
      <c r="H6" s="9">
        <f>'Raw Data'!K5</f>
        <v>88</v>
      </c>
    </row>
    <row r="7" spans="1:12" ht="15.75" customHeight="1" x14ac:dyDescent="0.3">
      <c r="A7" s="7" t="s">
        <v>15</v>
      </c>
      <c r="B7" s="7">
        <f>'Raw Data'!C6</f>
        <v>155</v>
      </c>
      <c r="C7" s="7">
        <f>'Raw Data'!D6</f>
        <v>150</v>
      </c>
      <c r="D7" s="7">
        <f>'Raw Data'!E6</f>
        <v>3.9</v>
      </c>
      <c r="E7" s="7">
        <f>'Raw Data'!F6</f>
        <v>5</v>
      </c>
      <c r="F7" s="7">
        <f>'Raw Data'!I6</f>
        <v>31</v>
      </c>
      <c r="G7" s="7">
        <f>'Raw Data'!J6</f>
        <v>30</v>
      </c>
      <c r="H7" s="7">
        <f>'Raw Data'!K6</f>
        <v>94</v>
      </c>
    </row>
    <row r="8" spans="1:12" ht="15.75" customHeight="1" x14ac:dyDescent="0.3">
      <c r="A8" s="9" t="s">
        <v>16</v>
      </c>
      <c r="B8" s="9">
        <f>'Raw Data'!C7</f>
        <v>161</v>
      </c>
      <c r="C8" s="9">
        <f>'Raw Data'!D7</f>
        <v>150</v>
      </c>
      <c r="D8" s="9">
        <f>'Raw Data'!E7</f>
        <v>3.5</v>
      </c>
      <c r="E8" s="9">
        <f>'Raw Data'!F7</f>
        <v>5</v>
      </c>
      <c r="F8" s="9">
        <f>'Raw Data'!I7</f>
        <v>30</v>
      </c>
      <c r="G8" s="9">
        <f>'Raw Data'!J7</f>
        <v>30</v>
      </c>
      <c r="H8" s="9">
        <f>'Raw Data'!K7</f>
        <v>97</v>
      </c>
    </row>
    <row r="9" spans="1:12" ht="15.75" customHeight="1" x14ac:dyDescent="0.3">
      <c r="A9" s="7" t="s">
        <v>17</v>
      </c>
      <c r="B9" s="7">
        <f>'Raw Data'!C8</f>
        <v>173</v>
      </c>
      <c r="C9" s="7">
        <f>'Raw Data'!D8</f>
        <v>150</v>
      </c>
      <c r="D9" s="7">
        <f>'Raw Data'!E8</f>
        <v>3.2</v>
      </c>
      <c r="E9" s="7">
        <f>'Raw Data'!F8</f>
        <v>5</v>
      </c>
      <c r="F9" s="7">
        <f>'Raw Data'!I8</f>
        <v>32</v>
      </c>
      <c r="G9" s="7">
        <f>'Raw Data'!J8</f>
        <v>30</v>
      </c>
      <c r="H9" s="7">
        <f>'Raw Data'!K8</f>
        <v>96</v>
      </c>
    </row>
    <row r="10" spans="1:12" ht="15.75" customHeight="1" x14ac:dyDescent="0.3">
      <c r="A10" s="9" t="s">
        <v>18</v>
      </c>
      <c r="B10" s="9">
        <f>'Raw Data'!C9</f>
        <v>168</v>
      </c>
      <c r="C10" s="9">
        <f>'Raw Data'!D9</f>
        <v>150</v>
      </c>
      <c r="D10" s="9">
        <f>'Raw Data'!E9</f>
        <v>3.8</v>
      </c>
      <c r="E10" s="9">
        <f>'Raw Data'!F9</f>
        <v>5</v>
      </c>
      <c r="F10" s="9">
        <f>'Raw Data'!I9</f>
        <v>29</v>
      </c>
      <c r="G10" s="9">
        <f>'Raw Data'!J9</f>
        <v>30</v>
      </c>
      <c r="H10" s="9">
        <f>'Raw Data'!K9</f>
        <v>92</v>
      </c>
    </row>
    <row r="11" spans="1:12" ht="15.75" customHeight="1" x14ac:dyDescent="0.3">
      <c r="A11" s="7" t="s">
        <v>19</v>
      </c>
      <c r="B11" s="7">
        <f>'Raw Data'!C10</f>
        <v>159</v>
      </c>
      <c r="C11" s="7">
        <f>'Raw Data'!D10</f>
        <v>150</v>
      </c>
      <c r="D11" s="7">
        <f>'Raw Data'!E10</f>
        <v>4.0999999999999996</v>
      </c>
      <c r="E11" s="7">
        <f>'Raw Data'!F10</f>
        <v>5</v>
      </c>
      <c r="F11" s="7">
        <f>'Raw Data'!I10</f>
        <v>31</v>
      </c>
      <c r="G11" s="7">
        <f>'Raw Data'!J10</f>
        <v>30</v>
      </c>
      <c r="H11" s="7">
        <f>'Raw Data'!K10</f>
        <v>90</v>
      </c>
    </row>
    <row r="12" spans="1:12" ht="15.75" customHeight="1" x14ac:dyDescent="0.3">
      <c r="A12" s="9" t="s">
        <v>20</v>
      </c>
      <c r="B12" s="9">
        <f>'Raw Data'!C11</f>
        <v>145</v>
      </c>
      <c r="C12" s="9">
        <f>'Raw Data'!D11</f>
        <v>150</v>
      </c>
      <c r="D12" s="9">
        <f>'Raw Data'!E11</f>
        <v>4.5999999999999996</v>
      </c>
      <c r="E12" s="9">
        <f>'Raw Data'!F11</f>
        <v>5</v>
      </c>
      <c r="F12" s="9">
        <f>'Raw Data'!I11</f>
        <v>27</v>
      </c>
      <c r="G12" s="9">
        <f>'Raw Data'!J11</f>
        <v>30</v>
      </c>
      <c r="H12" s="9">
        <f>'Raw Data'!K11</f>
        <v>85</v>
      </c>
    </row>
    <row r="13" spans="1:12" ht="15.75" customHeight="1" x14ac:dyDescent="0.3">
      <c r="A13" s="7" t="s">
        <v>21</v>
      </c>
      <c r="B13" s="7">
        <f>'Raw Data'!C12</f>
        <v>152</v>
      </c>
      <c r="C13" s="7">
        <f>'Raw Data'!D12</f>
        <v>150</v>
      </c>
      <c r="D13" s="7">
        <f>'Raw Data'!E12</f>
        <v>4.3</v>
      </c>
      <c r="E13" s="7">
        <f>'Raw Data'!F12</f>
        <v>5</v>
      </c>
      <c r="F13" s="7">
        <f>'Raw Data'!I12</f>
        <v>30</v>
      </c>
      <c r="G13" s="7">
        <f>'Raw Data'!J12</f>
        <v>30</v>
      </c>
      <c r="H13" s="7">
        <f>'Raw Data'!K12</f>
        <v>93</v>
      </c>
    </row>
    <row r="14" spans="1:12" ht="15.75" customHeight="1" x14ac:dyDescent="0.3">
      <c r="A14" s="9" t="s">
        <v>22</v>
      </c>
      <c r="B14" s="9">
        <f>'Raw Data'!C13</f>
        <v>148</v>
      </c>
      <c r="C14" s="9">
        <f>'Raw Data'!D13</f>
        <v>150</v>
      </c>
      <c r="D14" s="9">
        <f>'Raw Data'!E13</f>
        <v>4.7</v>
      </c>
      <c r="E14" s="9">
        <f>'Raw Data'!F13</f>
        <v>5</v>
      </c>
      <c r="F14" s="9">
        <f>'Raw Data'!I13</f>
        <v>28</v>
      </c>
      <c r="G14" s="9">
        <f>'Raw Data'!J13</f>
        <v>30</v>
      </c>
      <c r="H14" s="9">
        <f>'Raw Data'!K13</f>
        <v>89</v>
      </c>
    </row>
    <row r="15" spans="1:12" ht="15.75" customHeight="1" x14ac:dyDescent="0.3">
      <c r="A15" s="7" t="s">
        <v>23</v>
      </c>
      <c r="B15" s="7">
        <f>'Raw Data'!C14</f>
        <v>134</v>
      </c>
      <c r="C15" s="7">
        <f>'Raw Data'!D14</f>
        <v>150</v>
      </c>
      <c r="D15" s="7">
        <f>'Raw Data'!E14</f>
        <v>5.0999999999999996</v>
      </c>
      <c r="E15" s="7">
        <f>'Raw Data'!F14</f>
        <v>5</v>
      </c>
      <c r="F15" s="7">
        <f>'Raw Data'!I14</f>
        <v>25</v>
      </c>
      <c r="G15" s="7">
        <f>'Raw Data'!J14</f>
        <v>30</v>
      </c>
      <c r="H15" s="7">
        <f>'Raw Data'!K14</f>
        <v>82</v>
      </c>
    </row>
    <row r="16" spans="1:12" ht="15.75" customHeight="1" x14ac:dyDescent="0.3">
      <c r="A16" s="9" t="s">
        <v>24</v>
      </c>
      <c r="B16" s="9">
        <f>'Raw Data'!C15</f>
        <v>128</v>
      </c>
      <c r="C16" s="9">
        <f>'Raw Data'!D15</f>
        <v>150</v>
      </c>
      <c r="D16" s="9">
        <f>'Raw Data'!E15</f>
        <v>5.4</v>
      </c>
      <c r="E16" s="9">
        <f>'Raw Data'!F15</f>
        <v>5</v>
      </c>
      <c r="F16" s="9">
        <f>'Raw Data'!I15</f>
        <v>24</v>
      </c>
      <c r="G16" s="9">
        <f>'Raw Data'!J15</f>
        <v>30</v>
      </c>
      <c r="H16" s="9">
        <f>'Raw Data'!K15</f>
        <v>79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KPI Dashboard</vt:lpstr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Silvio Serafin Filho</cp:lastModifiedBy>
  <cp:revision>1</cp:revision>
  <dcterms:created xsi:type="dcterms:W3CDTF">2026-04-22T17:36:00Z</dcterms:created>
  <dcterms:modified xsi:type="dcterms:W3CDTF">2026-04-22T18:10:44Z</dcterms:modified>
  <dc:language>en-US</dc:language>
</cp:coreProperties>
</file>