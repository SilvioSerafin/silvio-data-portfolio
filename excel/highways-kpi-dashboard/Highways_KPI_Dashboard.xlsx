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ilvi\Downloads\"/>
    </mc:Choice>
  </mc:AlternateContent>
  <xr:revisionPtr revIDLastSave="0" documentId="13_ncr:1_{5367F9E0-45FA-44D8-9DFF-32F3FAC87C6C}" xr6:coauthVersionLast="47" xr6:coauthVersionMax="47" xr10:uidLastSave="{00000000-0000-0000-0000-000000000000}"/>
  <bookViews>
    <workbookView xWindow="-108" yWindow="-108" windowWidth="30936" windowHeight="16776" tabRatio="500" activeTab="2" xr2:uid="{00000000-000D-0000-FFFF-FFFF00000000}"/>
  </bookViews>
  <sheets>
    <sheet name="Raw Data" sheetId="1" r:id="rId1"/>
    <sheet name="KPI Dashboard" sheetId="2" r:id="rId2"/>
    <sheet name="Trend Analysis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6" i="3" l="1"/>
  <c r="G16" i="3"/>
  <c r="F16" i="3"/>
  <c r="E16" i="3"/>
  <c r="D16" i="3"/>
  <c r="C16" i="3"/>
  <c r="B16" i="3"/>
  <c r="H15" i="3"/>
  <c r="G15" i="3"/>
  <c r="F15" i="3"/>
  <c r="E15" i="3"/>
  <c r="D15" i="3"/>
  <c r="C15" i="3"/>
  <c r="B15" i="3"/>
  <c r="H14" i="3"/>
  <c r="G14" i="3"/>
  <c r="F14" i="3"/>
  <c r="E14" i="3"/>
  <c r="D14" i="3"/>
  <c r="C14" i="3"/>
  <c r="B14" i="3"/>
  <c r="H13" i="3"/>
  <c r="G13" i="3"/>
  <c r="F13" i="3"/>
  <c r="E13" i="3"/>
  <c r="D13" i="3"/>
  <c r="C13" i="3"/>
  <c r="B13" i="3"/>
  <c r="H12" i="3"/>
  <c r="G12" i="3"/>
  <c r="F12" i="3"/>
  <c r="E12" i="3"/>
  <c r="D12" i="3"/>
  <c r="C12" i="3"/>
  <c r="B12" i="3"/>
  <c r="H11" i="3"/>
  <c r="G11" i="3"/>
  <c r="F11" i="3"/>
  <c r="E11" i="3"/>
  <c r="D11" i="3"/>
  <c r="C11" i="3"/>
  <c r="B11" i="3"/>
  <c r="H10" i="3"/>
  <c r="G10" i="3"/>
  <c r="F10" i="3"/>
  <c r="E10" i="3"/>
  <c r="D10" i="3"/>
  <c r="C10" i="3"/>
  <c r="B10" i="3"/>
  <c r="H9" i="3"/>
  <c r="G9" i="3"/>
  <c r="F9" i="3"/>
  <c r="E9" i="3"/>
  <c r="D9" i="3"/>
  <c r="C9" i="3"/>
  <c r="B9" i="3"/>
  <c r="H8" i="3"/>
  <c r="G8" i="3"/>
  <c r="F8" i="3"/>
  <c r="E8" i="3"/>
  <c r="D8" i="3"/>
  <c r="C8" i="3"/>
  <c r="B8" i="3"/>
  <c r="H7" i="3"/>
  <c r="G7" i="3"/>
  <c r="F7" i="3"/>
  <c r="E7" i="3"/>
  <c r="D7" i="3"/>
  <c r="C7" i="3"/>
  <c r="B7" i="3"/>
  <c r="H6" i="3"/>
  <c r="G6" i="3"/>
  <c r="F6" i="3"/>
  <c r="E6" i="3"/>
  <c r="D6" i="3"/>
  <c r="C6" i="3"/>
  <c r="B6" i="3"/>
  <c r="H5" i="3"/>
  <c r="G5" i="3"/>
  <c r="F5" i="3"/>
  <c r="E5" i="3"/>
  <c r="D5" i="3"/>
  <c r="C5" i="3"/>
  <c r="B5" i="3"/>
  <c r="L25" i="2"/>
  <c r="K25" i="2"/>
  <c r="J25" i="2"/>
  <c r="I25" i="2"/>
  <c r="G25" i="2"/>
  <c r="F25" i="2"/>
  <c r="E25" i="2"/>
  <c r="D25" i="2"/>
  <c r="C25" i="2"/>
  <c r="M24" i="2"/>
  <c r="L24" i="2"/>
  <c r="K24" i="2"/>
  <c r="J24" i="2"/>
  <c r="I24" i="2"/>
  <c r="H24" i="2"/>
  <c r="G24" i="2"/>
  <c r="F24" i="2"/>
  <c r="E24" i="2"/>
  <c r="D24" i="2"/>
  <c r="C24" i="2"/>
  <c r="M23" i="2"/>
  <c r="L23" i="2"/>
  <c r="K23" i="2"/>
  <c r="J23" i="2"/>
  <c r="I23" i="2"/>
  <c r="H23" i="2"/>
  <c r="G23" i="2"/>
  <c r="F23" i="2"/>
  <c r="E23" i="2"/>
  <c r="D23" i="2"/>
  <c r="C23" i="2"/>
  <c r="M22" i="2"/>
  <c r="L22" i="2"/>
  <c r="K22" i="2"/>
  <c r="J22" i="2"/>
  <c r="I22" i="2"/>
  <c r="H22" i="2"/>
  <c r="G22" i="2"/>
  <c r="F22" i="2"/>
  <c r="E22" i="2"/>
  <c r="D22" i="2"/>
  <c r="C22" i="2"/>
  <c r="M21" i="2"/>
  <c r="L21" i="2"/>
  <c r="K21" i="2"/>
  <c r="J21" i="2"/>
  <c r="I21" i="2"/>
  <c r="H21" i="2"/>
  <c r="G21" i="2"/>
  <c r="F21" i="2"/>
  <c r="E21" i="2"/>
  <c r="D21" i="2"/>
  <c r="C21" i="2"/>
  <c r="M20" i="2"/>
  <c r="L20" i="2"/>
  <c r="K20" i="2"/>
  <c r="J20" i="2"/>
  <c r="I20" i="2"/>
  <c r="H20" i="2"/>
  <c r="G20" i="2"/>
  <c r="F20" i="2"/>
  <c r="E20" i="2"/>
  <c r="D20" i="2"/>
  <c r="C20" i="2"/>
  <c r="M19" i="2"/>
  <c r="L19" i="2"/>
  <c r="K19" i="2"/>
  <c r="J19" i="2"/>
  <c r="I19" i="2"/>
  <c r="H19" i="2"/>
  <c r="G19" i="2"/>
  <c r="F19" i="2"/>
  <c r="E19" i="2"/>
  <c r="D19" i="2"/>
  <c r="C19" i="2"/>
  <c r="M18" i="2"/>
  <c r="L18" i="2"/>
  <c r="K18" i="2"/>
  <c r="J18" i="2"/>
  <c r="I18" i="2"/>
  <c r="H18" i="2"/>
  <c r="G18" i="2"/>
  <c r="F18" i="2"/>
  <c r="E18" i="2"/>
  <c r="D18" i="2"/>
  <c r="C18" i="2"/>
  <c r="M17" i="2"/>
  <c r="L17" i="2"/>
  <c r="K17" i="2"/>
  <c r="J17" i="2"/>
  <c r="I17" i="2"/>
  <c r="H17" i="2"/>
  <c r="G17" i="2"/>
  <c r="F17" i="2"/>
  <c r="E17" i="2"/>
  <c r="D17" i="2"/>
  <c r="C17" i="2"/>
  <c r="M16" i="2"/>
  <c r="L16" i="2"/>
  <c r="K16" i="2"/>
  <c r="J16" i="2"/>
  <c r="I16" i="2"/>
  <c r="H16" i="2"/>
  <c r="G16" i="2"/>
  <c r="F16" i="2"/>
  <c r="E16" i="2"/>
  <c r="D16" i="2"/>
  <c r="C16" i="2"/>
  <c r="M15" i="2"/>
  <c r="L15" i="2"/>
  <c r="K15" i="2"/>
  <c r="J15" i="2"/>
  <c r="I15" i="2"/>
  <c r="H15" i="2"/>
  <c r="G15" i="2"/>
  <c r="F15" i="2"/>
  <c r="E15" i="2"/>
  <c r="D15" i="2"/>
  <c r="C15" i="2"/>
  <c r="M14" i="2"/>
  <c r="L14" i="2"/>
  <c r="K14" i="2"/>
  <c r="J14" i="2"/>
  <c r="I14" i="2"/>
  <c r="H14" i="2"/>
  <c r="G14" i="2"/>
  <c r="F14" i="2"/>
  <c r="E14" i="2"/>
  <c r="D14" i="2"/>
  <c r="C14" i="2"/>
  <c r="M13" i="2"/>
  <c r="L13" i="2"/>
  <c r="K13" i="2"/>
  <c r="J13" i="2"/>
  <c r="I13" i="2"/>
  <c r="H13" i="2"/>
  <c r="G13" i="2"/>
  <c r="F13" i="2"/>
  <c r="E13" i="2"/>
  <c r="D13" i="2"/>
  <c r="C13" i="2"/>
  <c r="K9" i="2"/>
  <c r="H9" i="2"/>
  <c r="E9" i="2"/>
  <c r="B9" i="2"/>
  <c r="L8" i="2"/>
  <c r="I8" i="2"/>
  <c r="F8" i="2"/>
  <c r="C8" i="2"/>
  <c r="L7" i="2"/>
  <c r="F7" i="2"/>
  <c r="C7" i="2"/>
  <c r="K5" i="2"/>
  <c r="H5" i="2"/>
  <c r="E5" i="2"/>
  <c r="B5" i="2"/>
</calcChain>
</file>

<file path=xl/sharedStrings.xml><?xml version="1.0" encoding="utf-8"?>
<sst xmlns="http://schemas.openxmlformats.org/spreadsheetml/2006/main" count="88" uniqueCount="49">
  <si>
    <t>Highways &amp; Engineering Division — Monthly Performance Data</t>
  </si>
  <si>
    <t>Bolton Council | Data Entry Sheet — Update monthly figures in blue cells</t>
  </si>
  <si>
    <t>Month</t>
  </si>
  <si>
    <t>Year</t>
  </si>
  <si>
    <t>Pothole Repairs
Completed</t>
  </si>
  <si>
    <t>Pothole Repair
Target</t>
  </si>
  <si>
    <t>Avg Response
Time (Days)</t>
  </si>
  <si>
    <t>Response Time
Target (Days)</t>
  </si>
  <si>
    <t>Planned
Maintenance Jobs</t>
  </si>
  <si>
    <t>Reactive
Maintenance Jobs</t>
  </si>
  <si>
    <t>Inspections
Completed</t>
  </si>
  <si>
    <t>Inspections
Target</t>
  </si>
  <si>
    <t>Complaints
Resolved in SLA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</si>
  <si>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</si>
  <si>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</si>
  <si>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</si>
  <si>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</si>
  <si>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</si>
  <si>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</si>
  <si>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</si>
  <si>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</si>
  <si>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</si>
  <si>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</si>
  <si>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</si>
  <si>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</si>
  <si>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HIGHWAYS &amp; ENGINEERING DIVISION</t>
  </si>
  <si>
    <t>Key Performance Indicator Dashboard  |  Bolton Council  |  Full Year 2025</t>
  </si>
  <si>
    <t>Pothole Repairs
Completed (YTD)</t>
  </si>
  <si>
    <t>Planned /
Reactive Ratio</t>
  </si>
  <si>
    <t>Inspection
Completion Rate</t>
  </si>
  <si>
    <t>Target</t>
  </si>
  <si>
    <t>"0.35 : 1"</t>
  </si>
  <si>
    <t>Achievement</t>
  </si>
  <si>
    <t>Monthly Performance Summary</t>
  </si>
  <si>
    <t>Repairs
Completed</t>
  </si>
  <si>
    <t>Repair
Target</t>
  </si>
  <si>
    <t>Repair
%</t>
  </si>
  <si>
    <t>Avg Response
(Days)</t>
  </si>
  <si>
    <t>Response
Target</t>
  </si>
  <si>
    <t>Response
RAG</t>
  </si>
  <si>
    <t>Inspections</t>
  </si>
  <si>
    <t>Insp.
Target</t>
  </si>
  <si>
    <t>Insp. %</t>
  </si>
  <si>
    <t>Complaints
in SLA %</t>
  </si>
  <si>
    <t>RAG Status</t>
  </si>
  <si>
    <t>TOTAL / AVG</t>
  </si>
  <si>
    <t>HIGHWAYS &amp; ENGINEERING — TREND ANALYSIS 2025</t>
  </si>
  <si>
    <t>Monthly trend charts for key performance indicators — Bolton Council</t>
  </si>
  <si>
    <t>Complaints
SLA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</si>
</sst>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6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i/>
      <sz val="10"/>
      <color rgb="FF495057"/>
      <name val="Arial"/>
      <charset val="1"/>
    </font>
    <font>
      <b/>
      <sz val="9"/>
      <color rgb="FFFFFFFF"/>
      <name val="Arial"/>
      <charset val="1"/>
    </font>
    <font>
      <b/>
      <sz val="10"/>
      <color rgb="FF1A2E4A"/>
      <name val="Arial"/>
      <charset val="1"/>
    </font>
    <font>
      <sz val="10"/>
      <color rgb="FF00008B"/>
      <name val="Arial"/>
      <charset val="1"/>
    </font>
    <font>
      <b/>
      <sz val="16"/>
      <color rgb="FFFFFFFF"/>
      <name val="Arial"/>
      <charset val="1"/>
    </font>
    <font>
      <i/>
      <sz val="10"/>
      <color rgb="FFFFFFFF"/>
      <name val="Arial"/>
      <charset val="1"/>
    </font>
    <font>
      <b/>
      <sz val="20"/>
      <color rgb="FF1A2E4A"/>
      <name val="Arial"/>
      <charset val="1"/>
    </font>
    <font>
      <b/>
      <sz val="8"/>
      <color rgb="FF495057"/>
      <name val="Arial"/>
      <charset val="1"/>
    </font>
    <font>
      <b/>
      <sz val="9"/>
      <color rgb="FF495057"/>
      <name val="Arial"/>
      <charset val="1"/>
    </font>
    <font>
      <sz val="8"/>
      <color rgb="FF495057"/>
      <name val="Arial"/>
      <charset val="1"/>
    </font>
    <font>
      <b/>
      <sz val="11"/>
      <color rgb="FFFFFFFF"/>
      <name val="Arial"/>
      <charset val="1"/>
    </font>
    <font>
      <b/>
      <sz val="8"/>
      <color rgb="FFFFFFFF"/>
      <name val="Arial"/>
      <charset val="1"/>
    </font>
    <font>
      <sz val="9"/>
      <color rgb="FF1A1A1A"/>
      <name val="Arial"/>
      <charset val="1"/>
    </font>
    <font>
      <i/>
      <sz val="9"/>
      <color rgb="FF495057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A2E4A"/>
        <bgColor rgb="FF003366"/>
      </patternFill>
    </fill>
    <fill>
      <patternFill patternType="solid">
        <fgColor rgb="FFF2F4F7"/>
        <bgColor rgb="FFEBF3FB"/>
      </patternFill>
    </fill>
    <fill>
      <patternFill patternType="solid">
        <fgColor rgb="FF2E5FA3"/>
        <bgColor rgb="FF3366FF"/>
      </patternFill>
    </fill>
    <fill>
      <patternFill patternType="solid">
        <fgColor rgb="FFEBF3FB"/>
        <bgColor rgb="FFF2F4F7"/>
      </patternFill>
    </fill>
    <fill>
      <patternFill patternType="solid">
        <fgColor rgb="FFFFFFFF"/>
        <bgColor rgb="FFF9F9F9"/>
      </patternFill>
    </fill>
    <fill>
      <patternFill patternType="solid">
        <fgColor rgb="FF1E7E34"/>
        <bgColor rgb="FF008080"/>
      </patternFill>
    </fill>
    <fill>
      <patternFill patternType="solid">
        <fgColor rgb="FFE67E22"/>
        <bgColor rgb="FFFF9900"/>
      </patternFill>
    </fill>
  </fills>
  <borders count="5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 style="thin">
        <color rgb="FFDEE2E6"/>
      </left>
      <right/>
      <top style="thin">
        <color rgb="FFDEE2E6"/>
      </top>
      <bottom style="thin">
        <color rgb="FFDEE2E6"/>
      </bottom>
      <diagonal/>
    </border>
    <border>
      <left style="thin">
        <color rgb="FFDEE2E6"/>
      </left>
      <right/>
      <top style="thin">
        <color rgb="FFDEE2E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5" fillId="3" borderId="0" xfId="0" applyFont="1" applyFill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8" fillId="6" borderId="3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7" fillId="4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164" fontId="10" fillId="3" borderId="1" xfId="0" applyNumberFormat="1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164" fontId="3" fillId="2" borderId="1" xfId="0" applyNumberFormat="1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E34"/>
      <rgbColor rgb="FF00008B"/>
      <rgbColor rgb="FF808000"/>
      <rgbColor rgb="FF800080"/>
      <rgbColor rgb="FF008080"/>
      <rgbColor rgb="FFC0C0C0"/>
      <rgbColor rgb="FF878787"/>
      <rgbColor rgb="FF9999FF"/>
      <rgbColor rgb="FF993366"/>
      <rgbColor rgb="FFF9F9F9"/>
      <rgbColor rgb="FFEBF3FB"/>
      <rgbColor rgb="FF660066"/>
      <rgbColor rgb="FFE74C3C"/>
      <rgbColor rgb="FF2E5FA3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F7"/>
      <rgbColor rgb="FFDEE2E6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7E22"/>
      <rgbColor rgb="FF495057"/>
      <rgbColor rgb="FF969696"/>
      <rgbColor rgb="FF003366"/>
      <rgbColor rgb="FF27AE60"/>
      <rgbColor rgb="FF003300"/>
      <rgbColor rgb="FF1A1A1A"/>
      <rgbColor rgb="FF993300"/>
      <rgbColor rgb="FF993366"/>
      <rgbColor rgb="FF333399"/>
      <rgbColor rgb="FF1A2E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GB" sz="1800" b="1" strike="noStrike" spc="-1">
                <a:solidFill>
                  <a:srgbClr val="000000"/>
                </a:solidFill>
                <a:latin typeface="Calibri"/>
              </a:rPr>
              <a:t>Pothole Repairs: Completed vs Target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'Trend Analysis'!$B$4</c:f>
              <c:strCache>
                <c:ptCount val="1"/>
                <c:pt idx="0">
                  <c:v>Repairs
Completed</c:v>
                </c:pt>
              </c:strCache>
            </c:strRef>
          </c:tx>
          <c:spPr>
            <a:solidFill>
              <a:srgbClr val="2E5FA3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'Trend Analysis'!$A$5:$A$16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'Trend Analysis'!$B$5:$B$16</c:f>
              <c:numCache>
                <c:formatCode>General</c:formatCode>
                <c:ptCount val="12"/>
                <c:pt idx="0">
                  <c:v>142</c:v>
                </c:pt>
                <c:pt idx="1">
                  <c:v>138</c:v>
                </c:pt>
                <c:pt idx="2">
                  <c:v>155</c:v>
                </c:pt>
                <c:pt idx="3">
                  <c:v>161</c:v>
                </c:pt>
                <c:pt idx="4">
                  <c:v>173</c:v>
                </c:pt>
                <c:pt idx="5">
                  <c:v>168</c:v>
                </c:pt>
                <c:pt idx="6">
                  <c:v>159</c:v>
                </c:pt>
                <c:pt idx="7">
                  <c:v>145</c:v>
                </c:pt>
                <c:pt idx="8">
                  <c:v>152</c:v>
                </c:pt>
                <c:pt idx="9">
                  <c:v>148</c:v>
                </c:pt>
                <c:pt idx="10">
                  <c:v>134</c:v>
                </c:pt>
                <c:pt idx="11">
                  <c:v>128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38-4047-86E0-3B605D612B1C}"/>
            </c:ext>
          </c:extLst>
        </c:ser>
        <c:ser>
          <c:idx val="1"/>
          <c:order val="1"/>
          <c:tx>
            <c:strRef>
              <c:f>'Trend Analysis'!$C$4</c:f>
              <c:strCache>
                <c:ptCount val="1"/>
                <c:pt idx="0">
                  <c:v>Repair
Target</c:v>
                </c:pt>
              </c:strCache>
            </c:strRef>
          </c:tx>
          <c:spPr>
            <a:solidFill>
              <a:srgbClr val="E74C3C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'Trend Analysis'!$A$5:$A$16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'Trend Analysis'!$C$5:$C$16</c:f>
              <c:numCache>
                <c:formatCode>General</c:formatCode>
                <c:ptCount val="12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150</c:v>
                </c:pt>
                <c:pt idx="4">
                  <c:v>150</c:v>
                </c:pt>
                <c:pt idx="5">
                  <c:v>150</c:v>
                </c:pt>
                <c:pt idx="6">
                  <c:v>150</c:v>
                </c:pt>
                <c:pt idx="7">
                  <c:v>150</c:v>
                </c:pt>
                <c:pt idx="8">
                  <c:v>150</c:v>
                </c:pt>
                <c:pt idx="9">
                  <c:v>150</c:v>
                </c:pt>
                <c:pt idx="10">
                  <c:v>150</c:v>
                </c:pt>
                <c:pt idx="11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38-4047-86E0-3B605D612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13154"/>
        <c:axId val="82541551"/>
      </c:barChart>
      <c:catAx>
        <c:axId val="801315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GB"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2541551"/>
        <c:crosses val="autoZero"/>
        <c:auto val="1"/>
        <c:lblAlgn val="ctr"/>
        <c:lblOffset val="100"/>
        <c:noMultiLvlLbl val="0"/>
      </c:catAx>
      <c:valAx>
        <c:axId val="825415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GB" sz="1000" b="1" strike="noStrike" spc="-1">
                    <a:solidFill>
                      <a:srgbClr val="000000"/>
                    </a:solidFill>
                    <a:latin typeface="Calibri"/>
                  </a:rPr>
                  <a:t>Number of Repairs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01315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GB" sz="1800" b="1" strike="noStrike" spc="-1">
                <a:solidFill>
                  <a:srgbClr val="000000"/>
                </a:solidFill>
                <a:latin typeface="Calibri"/>
              </a:rPr>
              <a:t>Average Response Time vs Target (Days)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'Trend Analysis'!$D$4</c:f>
              <c:strCache>
                <c:ptCount val="1"/>
                <c:pt idx="0">
                  <c:v>Avg Response
(Days)</c:v>
                </c:pt>
              </c:strCache>
            </c:strRef>
          </c:tx>
          <c:spPr>
            <a:ln w="24840">
              <a:solidFill>
                <a:srgbClr val="2E5FA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'Trend Analysis'!$A$5:$A$16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'Trend Analysis'!$D$5:$D$16</c:f>
              <c:numCache>
                <c:formatCode>General</c:formatCode>
                <c:ptCount val="12"/>
                <c:pt idx="0">
                  <c:v>4.2</c:v>
                </c:pt>
                <c:pt idx="1">
                  <c:v>4.8</c:v>
                </c:pt>
                <c:pt idx="2">
                  <c:v>3.9</c:v>
                </c:pt>
                <c:pt idx="3">
                  <c:v>3.5</c:v>
                </c:pt>
                <c:pt idx="4">
                  <c:v>3.2</c:v>
                </c:pt>
                <c:pt idx="5">
                  <c:v>3.8</c:v>
                </c:pt>
                <c:pt idx="6">
                  <c:v>4.0999999999999996</c:v>
                </c:pt>
                <c:pt idx="7">
                  <c:v>4.5999999999999996</c:v>
                </c:pt>
                <c:pt idx="8">
                  <c:v>4.3</c:v>
                </c:pt>
                <c:pt idx="9">
                  <c:v>4.7</c:v>
                </c:pt>
                <c:pt idx="10">
                  <c:v>5.0999999999999996</c:v>
                </c:pt>
                <c:pt idx="11">
                  <c:v>5.4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5A3-4BA6-91D3-BFAF9E2D9920}"/>
            </c:ext>
          </c:extLst>
        </c:ser>
        <c:ser>
          <c:idx val="1"/>
          <c:order val="1"/>
          <c:tx>
            <c:strRef>
              <c:f>'Trend Analysis'!$E$4</c:f>
              <c:strCache>
                <c:ptCount val="1"/>
                <c:pt idx="0">
                  <c:v>Response
Target</c:v>
                </c:pt>
              </c:strCache>
            </c:strRef>
          </c:tx>
          <c:spPr>
            <a:ln w="20160">
              <a:solidFill>
                <a:srgbClr val="E74C3C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'Trend Analysis'!$A$5:$A$16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'Trend Analysis'!$E$5:$E$16</c:f>
              <c:numCache>
                <c:formatCode>General</c:formatCode>
                <c:ptCount val="12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5A3-4BA6-91D3-BFAF9E2D9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639815"/>
        <c:axId val="96223698"/>
      </c:lineChart>
      <c:catAx>
        <c:axId val="263981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GB"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6223698"/>
        <c:crosses val="autoZero"/>
        <c:auto val="1"/>
        <c:lblAlgn val="ctr"/>
        <c:lblOffset val="100"/>
        <c:noMultiLvlLbl val="0"/>
      </c:catAx>
      <c:valAx>
        <c:axId val="962236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GB" sz="1000" b="1" strike="noStrike" spc="-1">
                    <a:solidFill>
                      <a:srgbClr val="000000"/>
                    </a:solidFill>
                    <a:latin typeface="Calibri"/>
                  </a:rPr>
                  <a:t>Days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63981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GB" sz="1800" b="1" strike="noStrike" spc="-1">
                <a:solidFill>
                  <a:srgbClr val="000000"/>
                </a:solidFill>
                <a:latin typeface="Calibri"/>
              </a:rPr>
              <a:t>Inspections Completed vs Target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'Trend Analysis'!$F$4</c:f>
              <c:strCache>
                <c:ptCount val="1"/>
                <c:pt idx="0">
                  <c:v>Inspections</c:v>
                </c:pt>
              </c:strCache>
            </c:strRef>
          </c:tx>
          <c:spPr>
            <a:solidFill>
              <a:srgbClr val="27AE6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'Trend Analysis'!$A$5:$A$16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'Trend Analysis'!$F$5:$F$16</c:f>
              <c:numCache>
                <c:formatCode>General</c:formatCode>
                <c:ptCount val="12"/>
                <c:pt idx="0">
                  <c:v>28</c:v>
                </c:pt>
                <c:pt idx="1">
                  <c:v>26</c:v>
                </c:pt>
                <c:pt idx="2">
                  <c:v>31</c:v>
                </c:pt>
                <c:pt idx="3">
                  <c:v>30</c:v>
                </c:pt>
                <c:pt idx="4">
                  <c:v>32</c:v>
                </c:pt>
                <c:pt idx="5">
                  <c:v>29</c:v>
                </c:pt>
                <c:pt idx="6">
                  <c:v>31</c:v>
                </c:pt>
                <c:pt idx="7">
                  <c:v>27</c:v>
                </c:pt>
                <c:pt idx="8">
                  <c:v>30</c:v>
                </c:pt>
                <c:pt idx="9">
                  <c:v>28</c:v>
                </c:pt>
                <c:pt idx="10">
                  <c:v>25</c:v>
                </c:pt>
                <c:pt idx="11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21-4577-84FF-F3E6C989F582}"/>
            </c:ext>
          </c:extLst>
        </c:ser>
        <c:ser>
          <c:idx val="1"/>
          <c:order val="1"/>
          <c:tx>
            <c:strRef>
              <c:f>'Trend Analysis'!$G$4</c:f>
              <c:strCache>
                <c:ptCount val="1"/>
                <c:pt idx="0">
                  <c:v>Insp.
Target</c:v>
                </c:pt>
              </c:strCache>
            </c:strRef>
          </c:tx>
          <c:spPr>
            <a:solidFill>
              <a:srgbClr val="E67E2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'Trend Analysis'!$A$5:$A$16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'Trend Analysis'!$G$5:$G$16</c:f>
              <c:numCache>
                <c:formatCode>General</c:formatCode>
                <c:ptCount val="12"/>
                <c:pt idx="0">
                  <c:v>30</c:v>
                </c:pt>
                <c:pt idx="1">
                  <c:v>30</c:v>
                </c:pt>
                <c:pt idx="2">
                  <c:v>30</c:v>
                </c:pt>
                <c:pt idx="3">
                  <c:v>30</c:v>
                </c:pt>
                <c:pt idx="4">
                  <c:v>30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21-4577-84FF-F3E6C989F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128986"/>
        <c:axId val="50462738"/>
      </c:barChart>
      <c:catAx>
        <c:axId val="5512898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0462738"/>
        <c:crosses val="autoZero"/>
        <c:auto val="1"/>
        <c:lblAlgn val="ctr"/>
        <c:lblOffset val="100"/>
        <c:noMultiLvlLbl val="0"/>
      </c:catAx>
      <c:valAx>
        <c:axId val="504627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GB" sz="1000" b="1" strike="noStrike" spc="-1">
                    <a:solidFill>
                      <a:srgbClr val="000000"/>
                    </a:solidFill>
                    <a:latin typeface="Calibri"/>
                  </a:rPr>
                  <a:t>Inspections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512898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7</xdr:col>
      <xdr:colOff>261720</xdr:colOff>
      <xdr:row>35</xdr:row>
      <xdr:rowOff>170640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17</xdr:row>
      <xdr:rowOff>0</xdr:rowOff>
    </xdr:from>
    <xdr:to>
      <xdr:col>17</xdr:col>
      <xdr:colOff>255960</xdr:colOff>
      <xdr:row>35</xdr:row>
      <xdr:rowOff>170640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35</xdr:row>
      <xdr:rowOff>0</xdr:rowOff>
    </xdr:from>
    <xdr:to>
      <xdr:col>7</xdr:col>
      <xdr:colOff>261720</xdr:colOff>
      <xdr:row>53</xdr:row>
      <xdr:rowOff>170640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5FA3"/>
  </sheetPr>
  <dimension ref="A1:K15"/>
  <sheetViews>
    <sheetView topLeftCell="A2" zoomScaleNormal="100" workbookViewId="0">
      <selection activeCell="E25" sqref="E25"/>
    </sheetView>
  </sheetViews>
  <sheetFormatPr defaultColWidth="8.6640625" defaultRowHeight="14.4" x14ac:dyDescent="0.3"/>
  <cols>
    <col min="1" max="1" width="8" customWidth="1"/>
    <col min="2" max="2" width="6" customWidth="1"/>
    <col min="3" max="8" width="14" customWidth="1"/>
    <col min="9" max="10" width="13" customWidth="1"/>
    <col min="11" max="11" width="16" customWidth="1"/>
  </cols>
  <sheetData>
    <row r="1" spans="1:11" ht="27.75" customHeight="1" x14ac:dyDescent="0.3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</row>
    <row r="2" spans="1:11" ht="18" customHeight="1" x14ac:dyDescent="0.3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</row>
    <row r="3" spans="1:11" ht="36" customHeight="1" x14ac:dyDescent="0.3">
      <c r="A3" s="26" t="s">
        <v>2</v>
      </c>
      <c r="B3" s="26" t="s">
        <v>3</v>
      </c>
      <c r="C3" s="26" t="s">
        <v>4</v>
      </c>
      <c r="D3" s="26" t="s">
        <v>5</v>
      </c>
      <c r="E3" s="26" t="s">
        <v>6</v>
      </c>
      <c r="F3" s="26" t="s">
        <v>7</v>
      </c>
      <c r="G3" s="26" t="s">
        <v>8</v>
      </c>
      <c r="H3" s="26" t="s">
        <v>9</v>
      </c>
      <c r="I3" s="26" t="s">
        <v>10</v>
      </c>
      <c r="J3" s="26" t="s">
        <v>11</v>
      </c>
      <c r="K3" s="26" t="s">
        <v>12</v>
      </c>
    </row>
    <row r="4" spans="1:11" ht="18" customHeight="1" x14ac:dyDescent="0.3">
      <c r="A4" s="27" t="s">
        <v>13</v>
      </c>
      <c r="B4" s="27">
        <v>2025</v>
      </c>
      <c r="C4" s="28">
        <v>142</v>
      </c>
      <c r="D4" s="28">
        <v>150</v>
      </c>
      <c r="E4" s="28">
        <v>4.2</v>
      </c>
      <c r="F4" s="28">
        <v>5</v>
      </c>
      <c r="G4" s="28">
        <v>38</v>
      </c>
      <c r="H4" s="28">
        <v>104</v>
      </c>
      <c r="I4" s="28">
        <v>28</v>
      </c>
      <c r="J4" s="28">
        <v>30</v>
      </c>
      <c r="K4" s="28">
        <v>91</v>
      </c>
    </row>
    <row r="5" spans="1:11" ht="18" customHeight="1" x14ac:dyDescent="0.3">
      <c r="A5" s="27" t="s">
        <v>14</v>
      </c>
      <c r="B5" s="27">
        <v>2025</v>
      </c>
      <c r="C5" s="28">
        <v>138</v>
      </c>
      <c r="D5" s="28">
        <v>150</v>
      </c>
      <c r="E5" s="28">
        <v>4.8</v>
      </c>
      <c r="F5" s="28">
        <v>5</v>
      </c>
      <c r="G5" s="28">
        <v>35</v>
      </c>
      <c r="H5" s="28">
        <v>103</v>
      </c>
      <c r="I5" s="28">
        <v>26</v>
      </c>
      <c r="J5" s="28">
        <v>30</v>
      </c>
      <c r="K5" s="28">
        <v>88</v>
      </c>
    </row>
    <row r="6" spans="1:11" ht="18" customHeight="1" x14ac:dyDescent="0.3">
      <c r="A6" s="27" t="s">
        <v>15</v>
      </c>
      <c r="B6" s="27">
        <v>2025</v>
      </c>
      <c r="C6" s="28">
        <v>155</v>
      </c>
      <c r="D6" s="28">
        <v>150</v>
      </c>
      <c r="E6" s="28">
        <v>3.9</v>
      </c>
      <c r="F6" s="28">
        <v>5</v>
      </c>
      <c r="G6" s="28">
        <v>42</v>
      </c>
      <c r="H6" s="28">
        <v>113</v>
      </c>
      <c r="I6" s="28">
        <v>31</v>
      </c>
      <c r="J6" s="28">
        <v>30</v>
      </c>
      <c r="K6" s="28">
        <v>94</v>
      </c>
    </row>
    <row r="7" spans="1:11" ht="18" customHeight="1" x14ac:dyDescent="0.3">
      <c r="A7" s="27" t="s">
        <v>16</v>
      </c>
      <c r="B7" s="27">
        <v>2025</v>
      </c>
      <c r="C7" s="28">
        <v>161</v>
      </c>
      <c r="D7" s="28">
        <v>150</v>
      </c>
      <c r="E7" s="28">
        <v>3.5</v>
      </c>
      <c r="F7" s="28">
        <v>5</v>
      </c>
      <c r="G7" s="28">
        <v>45</v>
      </c>
      <c r="H7" s="28">
        <v>116</v>
      </c>
      <c r="I7" s="28">
        <v>30</v>
      </c>
      <c r="J7" s="28">
        <v>30</v>
      </c>
      <c r="K7" s="28">
        <v>97</v>
      </c>
    </row>
    <row r="8" spans="1:11" ht="18" customHeight="1" x14ac:dyDescent="0.3">
      <c r="A8" s="27" t="s">
        <v>17</v>
      </c>
      <c r="B8" s="27">
        <v>2025</v>
      </c>
      <c r="C8" s="28">
        <v>173</v>
      </c>
      <c r="D8" s="28">
        <v>150</v>
      </c>
      <c r="E8" s="28">
        <v>3.2</v>
      </c>
      <c r="F8" s="28">
        <v>5</v>
      </c>
      <c r="G8" s="28">
        <v>48</v>
      </c>
      <c r="H8" s="28">
        <v>125</v>
      </c>
      <c r="I8" s="28">
        <v>32</v>
      </c>
      <c r="J8" s="28">
        <v>30</v>
      </c>
      <c r="K8" s="28">
        <v>96</v>
      </c>
    </row>
    <row r="9" spans="1:11" ht="18" customHeight="1" x14ac:dyDescent="0.3">
      <c r="A9" s="27" t="s">
        <v>18</v>
      </c>
      <c r="B9" s="27">
        <v>2025</v>
      </c>
      <c r="C9" s="28">
        <v>168</v>
      </c>
      <c r="D9" s="28">
        <v>150</v>
      </c>
      <c r="E9" s="28">
        <v>3.8</v>
      </c>
      <c r="F9" s="28">
        <v>5</v>
      </c>
      <c r="G9" s="28">
        <v>44</v>
      </c>
      <c r="H9" s="28">
        <v>124</v>
      </c>
      <c r="I9" s="28">
        <v>29</v>
      </c>
      <c r="J9" s="28">
        <v>30</v>
      </c>
      <c r="K9" s="28">
        <v>92</v>
      </c>
    </row>
    <row r="10" spans="1:11" ht="18" customHeight="1" x14ac:dyDescent="0.3">
      <c r="A10" s="27" t="s">
        <v>19</v>
      </c>
      <c r="B10" s="27">
        <v>2025</v>
      </c>
      <c r="C10" s="28">
        <v>159</v>
      </c>
      <c r="D10" s="28">
        <v>150</v>
      </c>
      <c r="E10" s="28">
        <v>4.0999999999999996</v>
      </c>
      <c r="F10" s="28">
        <v>5</v>
      </c>
      <c r="G10" s="28">
        <v>40</v>
      </c>
      <c r="H10" s="28">
        <v>119</v>
      </c>
      <c r="I10" s="28">
        <v>31</v>
      </c>
      <c r="J10" s="28">
        <v>30</v>
      </c>
      <c r="K10" s="28">
        <v>90</v>
      </c>
    </row>
    <row r="11" spans="1:11" ht="18" customHeight="1" x14ac:dyDescent="0.3">
      <c r="A11" s="27" t="s">
        <v>20</v>
      </c>
      <c r="B11" s="27">
        <v>2025</v>
      </c>
      <c r="C11" s="28">
        <v>145</v>
      </c>
      <c r="D11" s="28">
        <v>150</v>
      </c>
      <c r="E11" s="28">
        <v>4.5999999999999996</v>
      </c>
      <c r="F11" s="28">
        <v>5</v>
      </c>
      <c r="G11" s="28">
        <v>37</v>
      </c>
      <c r="H11" s="28">
        <v>108</v>
      </c>
      <c r="I11" s="28">
        <v>27</v>
      </c>
      <c r="J11" s="28">
        <v>30</v>
      </c>
      <c r="K11" s="28">
        <v>85</v>
      </c>
    </row>
    <row r="12" spans="1:11" ht="18" customHeight="1" x14ac:dyDescent="0.3">
      <c r="A12" s="27" t="s">
        <v>21</v>
      </c>
      <c r="B12" s="27">
        <v>2025</v>
      </c>
      <c r="C12" s="28">
        <v>152</v>
      </c>
      <c r="D12" s="28">
        <v>150</v>
      </c>
      <c r="E12" s="28">
        <v>4.3</v>
      </c>
      <c r="F12" s="28">
        <v>5</v>
      </c>
      <c r="G12" s="28">
        <v>41</v>
      </c>
      <c r="H12" s="28">
        <v>111</v>
      </c>
      <c r="I12" s="28">
        <v>30</v>
      </c>
      <c r="J12" s="28">
        <v>30</v>
      </c>
      <c r="K12" s="28">
        <v>93</v>
      </c>
    </row>
    <row r="13" spans="1:11" ht="18" customHeight="1" x14ac:dyDescent="0.3">
      <c r="A13" s="27" t="s">
        <v>22</v>
      </c>
      <c r="B13" s="27">
        <v>2025</v>
      </c>
      <c r="C13" s="28">
        <v>148</v>
      </c>
      <c r="D13" s="28">
        <v>150</v>
      </c>
      <c r="E13" s="28">
        <v>4.7</v>
      </c>
      <c r="F13" s="28">
        <v>5</v>
      </c>
      <c r="G13" s="28">
        <v>39</v>
      </c>
      <c r="H13" s="28">
        <v>109</v>
      </c>
      <c r="I13" s="28">
        <v>28</v>
      </c>
      <c r="J13" s="28">
        <v>30</v>
      </c>
      <c r="K13" s="28">
        <v>89</v>
      </c>
    </row>
    <row r="14" spans="1:11" ht="18" customHeight="1" x14ac:dyDescent="0.3">
      <c r="A14" s="27" t="s">
        <v>23</v>
      </c>
      <c r="B14" s="27">
        <v>2025</v>
      </c>
      <c r="C14" s="28">
        <v>134</v>
      </c>
      <c r="D14" s="28">
        <v>150</v>
      </c>
      <c r="E14" s="28">
        <v>5.0999999999999996</v>
      </c>
      <c r="F14" s="28">
        <v>5</v>
      </c>
      <c r="G14" s="28">
        <v>34</v>
      </c>
      <c r="H14" s="28">
        <v>100</v>
      </c>
      <c r="I14" s="28">
        <v>25</v>
      </c>
      <c r="J14" s="28">
        <v>30</v>
      </c>
      <c r="K14" s="28">
        <v>82</v>
      </c>
    </row>
    <row r="15" spans="1:11" ht="18" customHeight="1" x14ac:dyDescent="0.3">
      <c r="A15" s="27" t="s">
        <v>24</v>
      </c>
      <c r="B15" s="27">
        <v>2025</v>
      </c>
      <c r="C15" s="28">
        <v>128</v>
      </c>
      <c r="D15" s="28">
        <v>150</v>
      </c>
      <c r="E15" s="28">
        <v>5.4</v>
      </c>
      <c r="F15" s="28">
        <v>5</v>
      </c>
      <c r="G15" s="28">
        <v>30</v>
      </c>
      <c r="H15" s="28">
        <v>98</v>
      </c>
      <c r="I15" s="28">
        <v>24</v>
      </c>
      <c r="J15" s="28">
        <v>30</v>
      </c>
      <c r="K15" s="28">
        <v>79</v>
      </c>
    </row>
  </sheetData>
  <mergeCells count="2">
    <mergeCell ref="A1:K1"/>
    <mergeCell ref="A2:K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7E34"/>
  </sheetPr>
  <dimension ref="A1:N25"/>
  <sheetViews>
    <sheetView showGridLines="0" zoomScaleNormal="100" workbookViewId="0">
      <selection activeCell="B25" sqref="B25"/>
    </sheetView>
  </sheetViews>
  <sheetFormatPr defaultColWidth="8.6640625" defaultRowHeight="14.4" x14ac:dyDescent="0.3"/>
  <cols>
    <col min="1" max="1" width="2" customWidth="1"/>
    <col min="2" max="2" width="8" customWidth="1"/>
    <col min="3" max="3" width="10" customWidth="1"/>
    <col min="4" max="5" width="8" customWidth="1"/>
    <col min="6" max="6" width="10" customWidth="1"/>
    <col min="7" max="7" width="9" customWidth="1"/>
    <col min="8" max="8" width="10" customWidth="1"/>
    <col min="9" max="9" width="9" customWidth="1"/>
    <col min="10" max="11" width="8" customWidth="1"/>
    <col min="12" max="12" width="10" customWidth="1"/>
    <col min="13" max="13" width="11" customWidth="1"/>
    <col min="14" max="14" width="2" customWidth="1"/>
  </cols>
  <sheetData>
    <row r="1" spans="1:14" ht="31.5" customHeight="1" x14ac:dyDescent="0.3">
      <c r="A1" s="8" t="s">
        <v>25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spans="1:14" ht="19.5" customHeight="1" x14ac:dyDescent="0.3">
      <c r="A2" s="7" t="s">
        <v>26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</row>
    <row r="3" spans="1:14" ht="7.5" customHeight="1" x14ac:dyDescent="0.3"/>
    <row r="4" spans="1:14" ht="27.75" customHeight="1" x14ac:dyDescent="0.3">
      <c r="B4" s="6" t="s">
        <v>27</v>
      </c>
      <c r="C4" s="6"/>
      <c r="E4" s="6" t="s">
        <v>6</v>
      </c>
      <c r="F4" s="6"/>
      <c r="H4" s="6" t="s">
        <v>28</v>
      </c>
      <c r="I4" s="6"/>
      <c r="K4" s="6" t="s">
        <v>29</v>
      </c>
      <c r="L4" s="6"/>
    </row>
    <row r="5" spans="1:14" ht="19.5" customHeight="1" x14ac:dyDescent="0.3">
      <c r="B5" s="5">
        <f>SUM('Raw Data'!C4:C15)</f>
        <v>1803</v>
      </c>
      <c r="C5" s="5"/>
      <c r="E5" s="5">
        <f>AVERAGE('Raw Data'!E4:E15)</f>
        <v>4.3</v>
      </c>
      <c r="F5" s="5"/>
      <c r="H5" s="5" t="str">
        <f>TEXT(SUM('Raw Data'!G4:G15)/SUM('Raw Data'!H4:H15),"0.00")&amp;" : 1"</f>
        <v>0.36 : 1</v>
      </c>
      <c r="I5" s="5"/>
      <c r="K5" s="5">
        <f>SUM('Raw Data'!I4:I15)</f>
        <v>341</v>
      </c>
      <c r="L5" s="5"/>
    </row>
    <row r="6" spans="1:14" ht="19.5" customHeight="1" x14ac:dyDescent="0.3">
      <c r="B6" s="5"/>
      <c r="C6" s="5"/>
      <c r="E6" s="5"/>
      <c r="F6" s="5"/>
      <c r="H6" s="5"/>
      <c r="I6" s="5"/>
      <c r="K6" s="5"/>
      <c r="L6" s="5"/>
    </row>
    <row r="7" spans="1:14" ht="18" customHeight="1" x14ac:dyDescent="0.3">
      <c r="B7" s="11" t="s">
        <v>30</v>
      </c>
      <c r="C7" s="12">
        <f>SUM('Raw Data'!D4:D15)</f>
        <v>1800</v>
      </c>
      <c r="E7" s="11" t="s">
        <v>30</v>
      </c>
      <c r="F7" s="12">
        <f>AVERAGE('Raw Data'!F4:F15)</f>
        <v>5</v>
      </c>
      <c r="H7" s="11" t="s">
        <v>30</v>
      </c>
      <c r="I7" s="12" t="s">
        <v>31</v>
      </c>
      <c r="K7" s="11" t="s">
        <v>30</v>
      </c>
      <c r="L7" s="12">
        <f>SUM('Raw Data'!J4:J15)</f>
        <v>360</v>
      </c>
    </row>
    <row r="8" spans="1:14" ht="18" customHeight="1" x14ac:dyDescent="0.3">
      <c r="B8" s="13" t="s">
        <v>32</v>
      </c>
      <c r="C8" s="14">
        <f>SUM('Raw Data'!C4:C15)/SUM('Raw Data'!D4:D15)</f>
        <v>1.0016666666666667</v>
      </c>
      <c r="E8" s="13" t="s">
        <v>32</v>
      </c>
      <c r="F8" s="14">
        <f>AVERAGE('Raw Data'!F4:F15)/AVERAGE('Raw Data'!E4:E15)</f>
        <v>1.1627906976744187</v>
      </c>
      <c r="H8" s="13" t="s">
        <v>32</v>
      </c>
      <c r="I8" s="14">
        <f>SUM('Raw Data'!G4:G15)/(SUM('Raw Data'!G4:G15)+SUM('Raw Data'!H4:H15))</f>
        <v>0.26234054353854686</v>
      </c>
      <c r="K8" s="13" t="s">
        <v>32</v>
      </c>
      <c r="L8" s="14">
        <f>SUM('Raw Data'!I4:I15)/SUM('Raw Data'!J4:J15)</f>
        <v>0.94722222222222219</v>
      </c>
    </row>
    <row r="9" spans="1:14" ht="27.75" customHeight="1" x14ac:dyDescent="0.3">
      <c r="B9" s="4" t="str">
        <f>IF(SUM('Raw Data'!C4:C15)/SUM('Raw Data'!D4:D15)&gt;=1,"✔ ON TARGET",IF(SUM('Raw Data'!C4:C15)/SUM('Raw Data'!D4:D15)&gt;=0.9,"⚠ NEAR TARGET","✘ BELOW TARGET"))</f>
        <v>✔ ON TARGET</v>
      </c>
      <c r="C9" s="4"/>
      <c r="E9" s="4" t="str">
        <f>IF(AVERAGE('Raw Data'!E4:E15)&lt;=AVERAGE('Raw Data'!F4:F15),"✔ ON TARGET",IF(AVERAGE('Raw Data'!E4:E15)&lt;=AVERAGE('Raw Data'!F4:F15)*1.1,"⚠ NEAR TARGET","✘ BELOW TARGET"))</f>
        <v>✔ ON TARGET</v>
      </c>
      <c r="F9" s="4"/>
      <c r="H9" s="3" t="str">
        <f>IF(SUM('Raw Data'!G4:G15)/SUM('Raw Data'!H4:H15)&gt;=0.35,"✔ ON TARGET","⚠ NEAR TARGET")</f>
        <v>✔ ON TARGET</v>
      </c>
      <c r="I9" s="3"/>
      <c r="K9" s="4" t="str">
        <f>IF(SUM('Raw Data'!I4:I15)/SUM('Raw Data'!J4:J15)&gt;=1,"✔ ON TARGET",IF(SUM('Raw Data'!I4:I15)/SUM('Raw Data'!J4:J15)&gt;=0.9,"⚠ NEAR TARGET","✘ BELOW TARGET"))</f>
        <v>⚠ NEAR TARGET</v>
      </c>
      <c r="L9" s="4"/>
    </row>
    <row r="10" spans="1:14" ht="9.75" customHeight="1" x14ac:dyDescent="0.3"/>
    <row r="11" spans="1:14" ht="21.75" customHeight="1" x14ac:dyDescent="0.3">
      <c r="B11" s="2" t="s">
        <v>33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14" ht="30" customHeight="1" x14ac:dyDescent="0.3">
      <c r="B12" s="15" t="s">
        <v>2</v>
      </c>
      <c r="C12" s="15" t="s">
        <v>34</v>
      </c>
      <c r="D12" s="15" t="s">
        <v>35</v>
      </c>
      <c r="E12" s="15" t="s">
        <v>36</v>
      </c>
      <c r="F12" s="15" t="s">
        <v>37</v>
      </c>
      <c r="G12" s="15" t="s">
        <v>38</v>
      </c>
      <c r="H12" s="15" t="s">
        <v>39</v>
      </c>
      <c r="I12" s="15" t="s">
        <v>40</v>
      </c>
      <c r="J12" s="15" t="s">
        <v>41</v>
      </c>
      <c r="K12" s="15" t="s">
        <v>42</v>
      </c>
      <c r="L12" s="15" t="s">
        <v>43</v>
      </c>
      <c r="M12" s="15" t="s">
        <v>44</v>
      </c>
    </row>
    <row r="13" spans="1:14" ht="15.75" customHeight="1" x14ac:dyDescent="0.3">
      <c r="B13" s="16" t="s">
        <v>13</v>
      </c>
      <c r="C13" s="16">
        <f>'Raw Data'!C4</f>
        <v>142</v>
      </c>
      <c r="D13" s="16">
        <f>'Raw Data'!D4</f>
        <v>150</v>
      </c>
      <c r="E13" s="16">
        <f>'Raw Data'!C4/'Raw Data'!D4</f>
        <v>0.94666666666666666</v>
      </c>
      <c r="F13" s="17">
        <f>'Raw Data'!E4</f>
        <v>4.2</v>
      </c>
      <c r="G13" s="16">
        <f>'Raw Data'!F4</f>
        <v>5</v>
      </c>
      <c r="H13" s="16" t="str">
        <f>IF('Raw Data'!E4&lt;='Raw Data'!F4,"✔",IF('Raw Data'!E4&lt;='Raw Data'!F4*1.1,"⚠","✘"))</f>
        <v>✔</v>
      </c>
      <c r="I13" s="16">
        <f>'Raw Data'!I4</f>
        <v>28</v>
      </c>
      <c r="J13" s="16">
        <f>'Raw Data'!J4</f>
        <v>30</v>
      </c>
      <c r="K13" s="17">
        <f>'Raw Data'!I4/'Raw Data'!J4</f>
        <v>0.93333333333333335</v>
      </c>
      <c r="L13" s="16">
        <f>'Raw Data'!K4/100</f>
        <v>0.91</v>
      </c>
      <c r="M13" s="16" t="str">
        <f>IF('Raw Data'!C4&gt;='Raw Data'!D4,"✔ On Target",IF('Raw Data'!C4&gt;='Raw Data'!D4*0.9,"⚠ Near Target","✘ Below"))</f>
        <v>⚠ Near Target</v>
      </c>
    </row>
    <row r="14" spans="1:14" ht="15.75" customHeight="1" x14ac:dyDescent="0.3">
      <c r="B14" s="18" t="s">
        <v>14</v>
      </c>
      <c r="C14" s="18">
        <f>'Raw Data'!C5</f>
        <v>138</v>
      </c>
      <c r="D14" s="18">
        <f>'Raw Data'!D5</f>
        <v>150</v>
      </c>
      <c r="E14" s="18">
        <f>'Raw Data'!C5/'Raw Data'!D5</f>
        <v>0.92</v>
      </c>
      <c r="F14" s="19">
        <f>'Raw Data'!E5</f>
        <v>4.8</v>
      </c>
      <c r="G14" s="18">
        <f>'Raw Data'!F5</f>
        <v>5</v>
      </c>
      <c r="H14" s="18" t="str">
        <f>IF('Raw Data'!E5&lt;='Raw Data'!F5,"✔",IF('Raw Data'!E5&lt;='Raw Data'!F5*1.1,"⚠","✘"))</f>
        <v>✔</v>
      </c>
      <c r="I14" s="18">
        <f>'Raw Data'!I5</f>
        <v>26</v>
      </c>
      <c r="J14" s="18">
        <f>'Raw Data'!J5</f>
        <v>30</v>
      </c>
      <c r="K14" s="19">
        <f>'Raw Data'!I5/'Raw Data'!J5</f>
        <v>0.8666666666666667</v>
      </c>
      <c r="L14" s="18">
        <f>'Raw Data'!K5/100</f>
        <v>0.88</v>
      </c>
      <c r="M14" s="18" t="str">
        <f>IF('Raw Data'!C5&gt;='Raw Data'!D5,"✔ On Target",IF('Raw Data'!C5&gt;='Raw Data'!D5*0.9,"⚠ Near Target","✘ Below"))</f>
        <v>⚠ Near Target</v>
      </c>
    </row>
    <row r="15" spans="1:14" ht="15.75" customHeight="1" x14ac:dyDescent="0.3">
      <c r="B15" s="16" t="s">
        <v>15</v>
      </c>
      <c r="C15" s="16">
        <f>'Raw Data'!C6</f>
        <v>155</v>
      </c>
      <c r="D15" s="16">
        <f>'Raw Data'!D6</f>
        <v>150</v>
      </c>
      <c r="E15" s="16">
        <f>'Raw Data'!C6/'Raw Data'!D6</f>
        <v>1.0333333333333334</v>
      </c>
      <c r="F15" s="17">
        <f>'Raw Data'!E6</f>
        <v>3.9</v>
      </c>
      <c r="G15" s="16">
        <f>'Raw Data'!F6</f>
        <v>5</v>
      </c>
      <c r="H15" s="16" t="str">
        <f>IF('Raw Data'!E6&lt;='Raw Data'!F6,"✔",IF('Raw Data'!E6&lt;='Raw Data'!F6*1.1,"⚠","✘"))</f>
        <v>✔</v>
      </c>
      <c r="I15" s="16">
        <f>'Raw Data'!I6</f>
        <v>31</v>
      </c>
      <c r="J15" s="16">
        <f>'Raw Data'!J6</f>
        <v>30</v>
      </c>
      <c r="K15" s="17">
        <f>'Raw Data'!I6/'Raw Data'!J6</f>
        <v>1.0333333333333334</v>
      </c>
      <c r="L15" s="16">
        <f>'Raw Data'!K6/100</f>
        <v>0.94</v>
      </c>
      <c r="M15" s="16" t="str">
        <f>IF('Raw Data'!C6&gt;='Raw Data'!D6,"✔ On Target",IF('Raw Data'!C6&gt;='Raw Data'!D6*0.9,"⚠ Near Target","✘ Below"))</f>
        <v>✔ On Target</v>
      </c>
    </row>
    <row r="16" spans="1:14" ht="15.75" customHeight="1" x14ac:dyDescent="0.3">
      <c r="B16" s="18" t="s">
        <v>16</v>
      </c>
      <c r="C16" s="18">
        <f>'Raw Data'!C7</f>
        <v>161</v>
      </c>
      <c r="D16" s="18">
        <f>'Raw Data'!D7</f>
        <v>150</v>
      </c>
      <c r="E16" s="18">
        <f>'Raw Data'!C7/'Raw Data'!D7</f>
        <v>1.0733333333333333</v>
      </c>
      <c r="F16" s="19">
        <f>'Raw Data'!E7</f>
        <v>3.5</v>
      </c>
      <c r="G16" s="18">
        <f>'Raw Data'!F7</f>
        <v>5</v>
      </c>
      <c r="H16" s="18" t="str">
        <f>IF('Raw Data'!E7&lt;='Raw Data'!F7,"✔",IF('Raw Data'!E7&lt;='Raw Data'!F7*1.1,"⚠","✘"))</f>
        <v>✔</v>
      </c>
      <c r="I16" s="18">
        <f>'Raw Data'!I7</f>
        <v>30</v>
      </c>
      <c r="J16" s="18">
        <f>'Raw Data'!J7</f>
        <v>30</v>
      </c>
      <c r="K16" s="19">
        <f>'Raw Data'!I7/'Raw Data'!J7</f>
        <v>1</v>
      </c>
      <c r="L16" s="18">
        <f>'Raw Data'!K7/100</f>
        <v>0.97</v>
      </c>
      <c r="M16" s="18" t="str">
        <f>IF('Raw Data'!C7&gt;='Raw Data'!D7,"✔ On Target",IF('Raw Data'!C7&gt;='Raw Data'!D7*0.9,"⚠ Near Target","✘ Below"))</f>
        <v>✔ On Target</v>
      </c>
    </row>
    <row r="17" spans="2:13" ht="15.75" customHeight="1" x14ac:dyDescent="0.3">
      <c r="B17" s="16" t="s">
        <v>17</v>
      </c>
      <c r="C17" s="16">
        <f>'Raw Data'!C8</f>
        <v>173</v>
      </c>
      <c r="D17" s="16">
        <f>'Raw Data'!D8</f>
        <v>150</v>
      </c>
      <c r="E17" s="16">
        <f>'Raw Data'!C8/'Raw Data'!D8</f>
        <v>1.1533333333333333</v>
      </c>
      <c r="F17" s="17">
        <f>'Raw Data'!E8</f>
        <v>3.2</v>
      </c>
      <c r="G17" s="16">
        <f>'Raw Data'!F8</f>
        <v>5</v>
      </c>
      <c r="H17" s="16" t="str">
        <f>IF('Raw Data'!E8&lt;='Raw Data'!F8,"✔",IF('Raw Data'!E8&lt;='Raw Data'!F8*1.1,"⚠","✘"))</f>
        <v>✔</v>
      </c>
      <c r="I17" s="16">
        <f>'Raw Data'!I8</f>
        <v>32</v>
      </c>
      <c r="J17" s="16">
        <f>'Raw Data'!J8</f>
        <v>30</v>
      </c>
      <c r="K17" s="17">
        <f>'Raw Data'!I8/'Raw Data'!J8</f>
        <v>1.0666666666666667</v>
      </c>
      <c r="L17" s="16">
        <f>'Raw Data'!K8/100</f>
        <v>0.96</v>
      </c>
      <c r="M17" s="16" t="str">
        <f>IF('Raw Data'!C8&gt;='Raw Data'!D8,"✔ On Target",IF('Raw Data'!C8&gt;='Raw Data'!D8*0.9,"⚠ Near Target","✘ Below"))</f>
        <v>✔ On Target</v>
      </c>
    </row>
    <row r="18" spans="2:13" ht="15.75" customHeight="1" x14ac:dyDescent="0.3">
      <c r="B18" s="18" t="s">
        <v>18</v>
      </c>
      <c r="C18" s="18">
        <f>'Raw Data'!C9</f>
        <v>168</v>
      </c>
      <c r="D18" s="18">
        <f>'Raw Data'!D9</f>
        <v>150</v>
      </c>
      <c r="E18" s="18">
        <f>'Raw Data'!C9/'Raw Data'!D9</f>
        <v>1.1200000000000001</v>
      </c>
      <c r="F18" s="19">
        <f>'Raw Data'!E9</f>
        <v>3.8</v>
      </c>
      <c r="G18" s="18">
        <f>'Raw Data'!F9</f>
        <v>5</v>
      </c>
      <c r="H18" s="18" t="str">
        <f>IF('Raw Data'!E9&lt;='Raw Data'!F9,"✔",IF('Raw Data'!E9&lt;='Raw Data'!F9*1.1,"⚠","✘"))</f>
        <v>✔</v>
      </c>
      <c r="I18" s="18">
        <f>'Raw Data'!I9</f>
        <v>29</v>
      </c>
      <c r="J18" s="18">
        <f>'Raw Data'!J9</f>
        <v>30</v>
      </c>
      <c r="K18" s="19">
        <f>'Raw Data'!I9/'Raw Data'!J9</f>
        <v>0.96666666666666667</v>
      </c>
      <c r="L18" s="18">
        <f>'Raw Data'!K9/100</f>
        <v>0.92</v>
      </c>
      <c r="M18" s="18" t="str">
        <f>IF('Raw Data'!C9&gt;='Raw Data'!D9,"✔ On Target",IF('Raw Data'!C9&gt;='Raw Data'!D9*0.9,"⚠ Near Target","✘ Below"))</f>
        <v>✔ On Target</v>
      </c>
    </row>
    <row r="19" spans="2:13" ht="15.75" customHeight="1" x14ac:dyDescent="0.3">
      <c r="B19" s="16" t="s">
        <v>19</v>
      </c>
      <c r="C19" s="16">
        <f>'Raw Data'!C10</f>
        <v>159</v>
      </c>
      <c r="D19" s="16">
        <f>'Raw Data'!D10</f>
        <v>150</v>
      </c>
      <c r="E19" s="16">
        <f>'Raw Data'!C10/'Raw Data'!D10</f>
        <v>1.06</v>
      </c>
      <c r="F19" s="17">
        <f>'Raw Data'!E10</f>
        <v>4.0999999999999996</v>
      </c>
      <c r="G19" s="16">
        <f>'Raw Data'!F10</f>
        <v>5</v>
      </c>
      <c r="H19" s="16" t="str">
        <f>IF('Raw Data'!E10&lt;='Raw Data'!F10,"✔",IF('Raw Data'!E10&lt;='Raw Data'!F10*1.1,"⚠","✘"))</f>
        <v>✔</v>
      </c>
      <c r="I19" s="16">
        <f>'Raw Data'!I10</f>
        <v>31</v>
      </c>
      <c r="J19" s="16">
        <f>'Raw Data'!J10</f>
        <v>30</v>
      </c>
      <c r="K19" s="17">
        <f>'Raw Data'!I10/'Raw Data'!J10</f>
        <v>1.0333333333333334</v>
      </c>
      <c r="L19" s="16">
        <f>'Raw Data'!K10/100</f>
        <v>0.9</v>
      </c>
      <c r="M19" s="16" t="str">
        <f>IF('Raw Data'!C10&gt;='Raw Data'!D10,"✔ On Target",IF('Raw Data'!C10&gt;='Raw Data'!D10*0.9,"⚠ Near Target","✘ Below"))</f>
        <v>✔ On Target</v>
      </c>
    </row>
    <row r="20" spans="2:13" ht="15.75" customHeight="1" x14ac:dyDescent="0.3">
      <c r="B20" s="18" t="s">
        <v>20</v>
      </c>
      <c r="C20" s="18">
        <f>'Raw Data'!C11</f>
        <v>145</v>
      </c>
      <c r="D20" s="18">
        <f>'Raw Data'!D11</f>
        <v>150</v>
      </c>
      <c r="E20" s="18">
        <f>'Raw Data'!C11/'Raw Data'!D11</f>
        <v>0.96666666666666667</v>
      </c>
      <c r="F20" s="19">
        <f>'Raw Data'!E11</f>
        <v>4.5999999999999996</v>
      </c>
      <c r="G20" s="18">
        <f>'Raw Data'!F11</f>
        <v>5</v>
      </c>
      <c r="H20" s="18" t="str">
        <f>IF('Raw Data'!E11&lt;='Raw Data'!F11,"✔",IF('Raw Data'!E11&lt;='Raw Data'!F11*1.1,"⚠","✘"))</f>
        <v>✔</v>
      </c>
      <c r="I20" s="18">
        <f>'Raw Data'!I11</f>
        <v>27</v>
      </c>
      <c r="J20" s="18">
        <f>'Raw Data'!J11</f>
        <v>30</v>
      </c>
      <c r="K20" s="19">
        <f>'Raw Data'!I11/'Raw Data'!J11</f>
        <v>0.9</v>
      </c>
      <c r="L20" s="18">
        <f>'Raw Data'!K11/100</f>
        <v>0.85</v>
      </c>
      <c r="M20" s="18" t="str">
        <f>IF('Raw Data'!C11&gt;='Raw Data'!D11,"✔ On Target",IF('Raw Data'!C11&gt;='Raw Data'!D11*0.9,"⚠ Near Target","✘ Below"))</f>
        <v>⚠ Near Target</v>
      </c>
    </row>
    <row r="21" spans="2:13" ht="15.75" customHeight="1" x14ac:dyDescent="0.3">
      <c r="B21" s="16" t="s">
        <v>21</v>
      </c>
      <c r="C21" s="16">
        <f>'Raw Data'!C12</f>
        <v>152</v>
      </c>
      <c r="D21" s="16">
        <f>'Raw Data'!D12</f>
        <v>150</v>
      </c>
      <c r="E21" s="16">
        <f>'Raw Data'!C12/'Raw Data'!D12</f>
        <v>1.0133333333333334</v>
      </c>
      <c r="F21" s="17">
        <f>'Raw Data'!E12</f>
        <v>4.3</v>
      </c>
      <c r="G21" s="16">
        <f>'Raw Data'!F12</f>
        <v>5</v>
      </c>
      <c r="H21" s="16" t="str">
        <f>IF('Raw Data'!E12&lt;='Raw Data'!F12,"✔",IF('Raw Data'!E12&lt;='Raw Data'!F12*1.1,"⚠","✘"))</f>
        <v>✔</v>
      </c>
      <c r="I21" s="16">
        <f>'Raw Data'!I12</f>
        <v>30</v>
      </c>
      <c r="J21" s="16">
        <f>'Raw Data'!J12</f>
        <v>30</v>
      </c>
      <c r="K21" s="17">
        <f>'Raw Data'!I12/'Raw Data'!J12</f>
        <v>1</v>
      </c>
      <c r="L21" s="16">
        <f>'Raw Data'!K12/100</f>
        <v>0.93</v>
      </c>
      <c r="M21" s="16" t="str">
        <f>IF('Raw Data'!C12&gt;='Raw Data'!D12,"✔ On Target",IF('Raw Data'!C12&gt;='Raw Data'!D12*0.9,"⚠ Near Target","✘ Below"))</f>
        <v>✔ On Target</v>
      </c>
    </row>
    <row r="22" spans="2:13" ht="15.75" customHeight="1" x14ac:dyDescent="0.3">
      <c r="B22" s="18" t="s">
        <v>22</v>
      </c>
      <c r="C22" s="18">
        <f>'Raw Data'!C13</f>
        <v>148</v>
      </c>
      <c r="D22" s="18">
        <f>'Raw Data'!D13</f>
        <v>150</v>
      </c>
      <c r="E22" s="18">
        <f>'Raw Data'!C13/'Raw Data'!D13</f>
        <v>0.98666666666666669</v>
      </c>
      <c r="F22" s="19">
        <f>'Raw Data'!E13</f>
        <v>4.7</v>
      </c>
      <c r="G22" s="18">
        <f>'Raw Data'!F13</f>
        <v>5</v>
      </c>
      <c r="H22" s="18" t="str">
        <f>IF('Raw Data'!E13&lt;='Raw Data'!F13,"✔",IF('Raw Data'!E13&lt;='Raw Data'!F13*1.1,"⚠","✘"))</f>
        <v>✔</v>
      </c>
      <c r="I22" s="18">
        <f>'Raw Data'!I13</f>
        <v>28</v>
      </c>
      <c r="J22" s="18">
        <f>'Raw Data'!J13</f>
        <v>30</v>
      </c>
      <c r="K22" s="19">
        <f>'Raw Data'!I13/'Raw Data'!J13</f>
        <v>0.93333333333333335</v>
      </c>
      <c r="L22" s="18">
        <f>'Raw Data'!K13/100</f>
        <v>0.89</v>
      </c>
      <c r="M22" s="18" t="str">
        <f>IF('Raw Data'!C13&gt;='Raw Data'!D13,"✔ On Target",IF('Raw Data'!C13&gt;='Raw Data'!D13*0.9,"⚠ Near Target","✘ Below"))</f>
        <v>⚠ Near Target</v>
      </c>
    </row>
    <row r="23" spans="2:13" ht="15.75" customHeight="1" x14ac:dyDescent="0.3">
      <c r="B23" s="16" t="s">
        <v>23</v>
      </c>
      <c r="C23" s="16">
        <f>'Raw Data'!C14</f>
        <v>134</v>
      </c>
      <c r="D23" s="16">
        <f>'Raw Data'!D14</f>
        <v>150</v>
      </c>
      <c r="E23" s="16">
        <f>'Raw Data'!C14/'Raw Data'!D14</f>
        <v>0.89333333333333331</v>
      </c>
      <c r="F23" s="17">
        <f>'Raw Data'!E14</f>
        <v>5.0999999999999996</v>
      </c>
      <c r="G23" s="16">
        <f>'Raw Data'!F14</f>
        <v>5</v>
      </c>
      <c r="H23" s="16" t="str">
        <f>IF('Raw Data'!E14&lt;='Raw Data'!F14,"✔",IF('Raw Data'!E14&lt;='Raw Data'!F14*1.1,"⚠","✘"))</f>
        <v>⚠</v>
      </c>
      <c r="I23" s="16">
        <f>'Raw Data'!I14</f>
        <v>25</v>
      </c>
      <c r="J23" s="16">
        <f>'Raw Data'!J14</f>
        <v>30</v>
      </c>
      <c r="K23" s="17">
        <f>'Raw Data'!I14/'Raw Data'!J14</f>
        <v>0.83333333333333337</v>
      </c>
      <c r="L23" s="16">
        <f>'Raw Data'!K14/100</f>
        <v>0.82</v>
      </c>
      <c r="M23" s="16" t="str">
        <f>IF('Raw Data'!C14&gt;='Raw Data'!D14,"✔ On Target",IF('Raw Data'!C14&gt;='Raw Data'!D14*0.9,"⚠ Near Target","✘ Below"))</f>
        <v>✘ Below</v>
      </c>
    </row>
    <row r="24" spans="2:13" ht="15.75" customHeight="1" x14ac:dyDescent="0.3">
      <c r="B24" s="18" t="s">
        <v>24</v>
      </c>
      <c r="C24" s="18">
        <f>'Raw Data'!C15</f>
        <v>128</v>
      </c>
      <c r="D24" s="18">
        <f>'Raw Data'!D15</f>
        <v>150</v>
      </c>
      <c r="E24" s="18">
        <f>'Raw Data'!C15/'Raw Data'!D15</f>
        <v>0.85333333333333339</v>
      </c>
      <c r="F24" s="19">
        <f>'Raw Data'!E15</f>
        <v>5.4</v>
      </c>
      <c r="G24" s="18">
        <f>'Raw Data'!F15</f>
        <v>5</v>
      </c>
      <c r="H24" s="18" t="str">
        <f>IF('Raw Data'!E15&lt;='Raw Data'!F15,"✔",IF('Raw Data'!E15&lt;='Raw Data'!F15*1.1,"⚠","✘"))</f>
        <v>⚠</v>
      </c>
      <c r="I24" s="18">
        <f>'Raw Data'!I15</f>
        <v>24</v>
      </c>
      <c r="J24" s="18">
        <f>'Raw Data'!J15</f>
        <v>30</v>
      </c>
      <c r="K24" s="19">
        <f>'Raw Data'!I15/'Raw Data'!J15</f>
        <v>0.8</v>
      </c>
      <c r="L24" s="18">
        <f>'Raw Data'!K15/100</f>
        <v>0.79</v>
      </c>
      <c r="M24" s="18" t="str">
        <f>IF('Raw Data'!C15&gt;='Raw Data'!D15,"✔ On Target",IF('Raw Data'!C15&gt;='Raw Data'!D15*0.9,"⚠ Near Target","✘ Below"))</f>
        <v>✘ Below</v>
      </c>
    </row>
    <row r="25" spans="2:13" ht="18" customHeight="1" x14ac:dyDescent="0.3">
      <c r="B25" s="20" t="s">
        <v>45</v>
      </c>
      <c r="C25" s="21">
        <f>SUM('Raw Data'!C4:C15)</f>
        <v>1803</v>
      </c>
      <c r="D25" s="21">
        <f>SUM('Raw Data'!D4:D15)</f>
        <v>1800</v>
      </c>
      <c r="E25" s="22">
        <f>SUM('Raw Data'!C4:C15)/SUM('Raw Data'!D4:D15)</f>
        <v>1.0016666666666667</v>
      </c>
      <c r="F25" s="23">
        <f>AVERAGE('Raw Data'!E4:E15)</f>
        <v>4.3</v>
      </c>
      <c r="G25" s="23">
        <f>AVERAGE('Raw Data'!F4:F15)</f>
        <v>5</v>
      </c>
      <c r="H25" s="20"/>
      <c r="I25" s="21">
        <f>SUM('Raw Data'!I4:I15)</f>
        <v>341</v>
      </c>
      <c r="J25" s="21">
        <f>SUM('Raw Data'!J4:J15)</f>
        <v>360</v>
      </c>
      <c r="K25" s="22">
        <f>SUM('Raw Data'!I4:I15)/SUM('Raw Data'!J4:J15)</f>
        <v>0.94722222222222219</v>
      </c>
      <c r="L25" s="22">
        <f>AVERAGE('Raw Data'!K4:K15)/100</f>
        <v>0.89666666666666672</v>
      </c>
      <c r="M25" s="20"/>
    </row>
  </sheetData>
  <mergeCells count="15">
    <mergeCell ref="B11:N11"/>
    <mergeCell ref="B5:C6"/>
    <mergeCell ref="E5:F6"/>
    <mergeCell ref="H5:I6"/>
    <mergeCell ref="K5:L6"/>
    <mergeCell ref="B9:C9"/>
    <mergeCell ref="E9:F9"/>
    <mergeCell ref="H9:I9"/>
    <mergeCell ref="K9:L9"/>
    <mergeCell ref="A1:N1"/>
    <mergeCell ref="A2:N2"/>
    <mergeCell ref="B4:C4"/>
    <mergeCell ref="E4:F4"/>
    <mergeCell ref="H4:I4"/>
    <mergeCell ref="K4:L4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67E22"/>
  </sheetPr>
  <dimension ref="A1:L16"/>
  <sheetViews>
    <sheetView showGridLines="0" tabSelected="1" zoomScaleNormal="100" workbookViewId="0">
      <selection activeCell="L11" sqref="L11"/>
    </sheetView>
  </sheetViews>
  <sheetFormatPr defaultColWidth="8.6640625" defaultRowHeight="14.4" x14ac:dyDescent="0.3"/>
  <cols>
    <col min="1" max="1" width="8" customWidth="1"/>
    <col min="2" max="2" width="12" customWidth="1"/>
    <col min="3" max="3" width="10" customWidth="1"/>
    <col min="4" max="4" width="14" customWidth="1"/>
    <col min="5" max="5" width="13" customWidth="1"/>
    <col min="6" max="6" width="11" customWidth="1"/>
    <col min="7" max="7" width="10" customWidth="1"/>
    <col min="8" max="8" width="13" customWidth="1"/>
  </cols>
  <sheetData>
    <row r="1" spans="1:12" ht="27.75" customHeight="1" x14ac:dyDescent="0.3">
      <c r="A1" s="9" t="s">
        <v>46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</row>
    <row r="2" spans="1:12" ht="15.75" customHeight="1" x14ac:dyDescent="0.3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4" spans="1:12" ht="30" customHeight="1" x14ac:dyDescent="0.3">
      <c r="A4" s="10" t="s">
        <v>2</v>
      </c>
      <c r="B4" s="10" t="s">
        <v>34</v>
      </c>
      <c r="C4" s="10" t="s">
        <v>35</v>
      </c>
      <c r="D4" s="10" t="s">
        <v>37</v>
      </c>
      <c r="E4" s="10" t="s">
        <v>38</v>
      </c>
      <c r="F4" s="10" t="s">
        <v>40</v>
      </c>
      <c r="G4" s="10" t="s">
        <v>41</v>
      </c>
      <c r="H4" s="10" t="s">
        <v>48</v>
      </c>
    </row>
    <row r="5" spans="1:12" ht="15.75" customHeight="1" x14ac:dyDescent="0.3">
      <c r="A5" s="16" t="s">
        <v>13</v>
      </c>
      <c r="B5" s="16">
        <f>'Raw Data'!C4</f>
        <v>142</v>
      </c>
      <c r="C5" s="16">
        <f>'Raw Data'!D4</f>
        <v>150</v>
      </c>
      <c r="D5" s="16">
        <f>'Raw Data'!E4</f>
        <v>4.2</v>
      </c>
      <c r="E5" s="16">
        <f>'Raw Data'!F4</f>
        <v>5</v>
      </c>
      <c r="F5" s="16">
        <f>'Raw Data'!I4</f>
        <v>28</v>
      </c>
      <c r="G5" s="16">
        <f>'Raw Data'!J4</f>
        <v>30</v>
      </c>
      <c r="H5" s="16">
        <f>'Raw Data'!K4</f>
        <v>91</v>
      </c>
    </row>
    <row r="6" spans="1:12" ht="15.75" customHeight="1" x14ac:dyDescent="0.3">
      <c r="A6" s="18" t="s">
        <v>14</v>
      </c>
      <c r="B6" s="18">
        <f>'Raw Data'!C5</f>
        <v>138</v>
      </c>
      <c r="C6" s="18">
        <f>'Raw Data'!D5</f>
        <v>150</v>
      </c>
      <c r="D6" s="18">
        <f>'Raw Data'!E5</f>
        <v>4.8</v>
      </c>
      <c r="E6" s="18">
        <f>'Raw Data'!F5</f>
        <v>5</v>
      </c>
      <c r="F6" s="18">
        <f>'Raw Data'!I5</f>
        <v>26</v>
      </c>
      <c r="G6" s="18">
        <f>'Raw Data'!J5</f>
        <v>30</v>
      </c>
      <c r="H6" s="18">
        <f>'Raw Data'!K5</f>
        <v>88</v>
      </c>
    </row>
    <row r="7" spans="1:12" ht="15.75" customHeight="1" x14ac:dyDescent="0.3">
      <c r="A7" s="16" t="s">
        <v>15</v>
      </c>
      <c r="B7" s="16">
        <f>'Raw Data'!C6</f>
        <v>155</v>
      </c>
      <c r="C7" s="16">
        <f>'Raw Data'!D6</f>
        <v>150</v>
      </c>
      <c r="D7" s="16">
        <f>'Raw Data'!E6</f>
        <v>3.9</v>
      </c>
      <c r="E7" s="16">
        <f>'Raw Data'!F6</f>
        <v>5</v>
      </c>
      <c r="F7" s="16">
        <f>'Raw Data'!I6</f>
        <v>31</v>
      </c>
      <c r="G7" s="16">
        <f>'Raw Data'!J6</f>
        <v>30</v>
      </c>
      <c r="H7" s="16">
        <f>'Raw Data'!K6</f>
        <v>94</v>
      </c>
    </row>
    <row r="8" spans="1:12" ht="15.75" customHeight="1" x14ac:dyDescent="0.3">
      <c r="A8" s="18" t="s">
        <v>16</v>
      </c>
      <c r="B8" s="18">
        <f>'Raw Data'!C7</f>
        <v>161</v>
      </c>
      <c r="C8" s="18">
        <f>'Raw Data'!D7</f>
        <v>150</v>
      </c>
      <c r="D8" s="18">
        <f>'Raw Data'!E7</f>
        <v>3.5</v>
      </c>
      <c r="E8" s="18">
        <f>'Raw Data'!F7</f>
        <v>5</v>
      </c>
      <c r="F8" s="18">
        <f>'Raw Data'!I7</f>
        <v>30</v>
      </c>
      <c r="G8" s="18">
        <f>'Raw Data'!J7</f>
        <v>30</v>
      </c>
      <c r="H8" s="18">
        <f>'Raw Data'!K7</f>
        <v>97</v>
      </c>
    </row>
    <row r="9" spans="1:12" ht="15.75" customHeight="1" x14ac:dyDescent="0.3">
      <c r="A9" s="16" t="s">
        <v>17</v>
      </c>
      <c r="B9" s="16">
        <f>'Raw Data'!C8</f>
        <v>173</v>
      </c>
      <c r="C9" s="16">
        <f>'Raw Data'!D8</f>
        <v>150</v>
      </c>
      <c r="D9" s="16">
        <f>'Raw Data'!E8</f>
        <v>3.2</v>
      </c>
      <c r="E9" s="16">
        <f>'Raw Data'!F8</f>
        <v>5</v>
      </c>
      <c r="F9" s="16">
        <f>'Raw Data'!I8</f>
        <v>32</v>
      </c>
      <c r="G9" s="16">
        <f>'Raw Data'!J8</f>
        <v>30</v>
      </c>
      <c r="H9" s="16">
        <f>'Raw Data'!K8</f>
        <v>96</v>
      </c>
    </row>
    <row r="10" spans="1:12" ht="15.75" customHeight="1" x14ac:dyDescent="0.3">
      <c r="A10" s="18" t="s">
        <v>18</v>
      </c>
      <c r="B10" s="18">
        <f>'Raw Data'!C9</f>
        <v>168</v>
      </c>
      <c r="C10" s="18">
        <f>'Raw Data'!D9</f>
        <v>150</v>
      </c>
      <c r="D10" s="18">
        <f>'Raw Data'!E9</f>
        <v>3.8</v>
      </c>
      <c r="E10" s="18">
        <f>'Raw Data'!F9</f>
        <v>5</v>
      </c>
      <c r="F10" s="18">
        <f>'Raw Data'!I9</f>
        <v>29</v>
      </c>
      <c r="G10" s="18">
        <f>'Raw Data'!J9</f>
        <v>30</v>
      </c>
      <c r="H10" s="18">
        <f>'Raw Data'!K9</f>
        <v>92</v>
      </c>
    </row>
    <row r="11" spans="1:12" ht="15.75" customHeight="1" x14ac:dyDescent="0.3">
      <c r="A11" s="16" t="s">
        <v>19</v>
      </c>
      <c r="B11" s="16">
        <f>'Raw Data'!C10</f>
        <v>159</v>
      </c>
      <c r="C11" s="16">
        <f>'Raw Data'!D10</f>
        <v>150</v>
      </c>
      <c r="D11" s="16">
        <f>'Raw Data'!E10</f>
        <v>4.0999999999999996</v>
      </c>
      <c r="E11" s="16">
        <f>'Raw Data'!F10</f>
        <v>5</v>
      </c>
      <c r="F11" s="16">
        <f>'Raw Data'!I10</f>
        <v>31</v>
      </c>
      <c r="G11" s="16">
        <f>'Raw Data'!J10</f>
        <v>30</v>
      </c>
      <c r="H11" s="16">
        <f>'Raw Data'!K10</f>
        <v>90</v>
      </c>
    </row>
    <row r="12" spans="1:12" ht="15.75" customHeight="1" x14ac:dyDescent="0.3">
      <c r="A12" s="18" t="s">
        <v>20</v>
      </c>
      <c r="B12" s="18">
        <f>'Raw Data'!C11</f>
        <v>145</v>
      </c>
      <c r="C12" s="18">
        <f>'Raw Data'!D11</f>
        <v>150</v>
      </c>
      <c r="D12" s="18">
        <f>'Raw Data'!E11</f>
        <v>4.5999999999999996</v>
      </c>
      <c r="E12" s="18">
        <f>'Raw Data'!F11</f>
        <v>5</v>
      </c>
      <c r="F12" s="18">
        <f>'Raw Data'!I11</f>
        <v>27</v>
      </c>
      <c r="G12" s="18">
        <f>'Raw Data'!J11</f>
        <v>30</v>
      </c>
      <c r="H12" s="18">
        <f>'Raw Data'!K11</f>
        <v>85</v>
      </c>
    </row>
    <row r="13" spans="1:12" ht="15.75" customHeight="1" x14ac:dyDescent="0.3">
      <c r="A13" s="16" t="s">
        <v>21</v>
      </c>
      <c r="B13" s="16">
        <f>'Raw Data'!C12</f>
        <v>152</v>
      </c>
      <c r="C13" s="16">
        <f>'Raw Data'!D12</f>
        <v>150</v>
      </c>
      <c r="D13" s="16">
        <f>'Raw Data'!E12</f>
        <v>4.3</v>
      </c>
      <c r="E13" s="16">
        <f>'Raw Data'!F12</f>
        <v>5</v>
      </c>
      <c r="F13" s="16">
        <f>'Raw Data'!I12</f>
        <v>30</v>
      </c>
      <c r="G13" s="16">
        <f>'Raw Data'!J12</f>
        <v>30</v>
      </c>
      <c r="H13" s="16">
        <f>'Raw Data'!K12</f>
        <v>93</v>
      </c>
    </row>
    <row r="14" spans="1:12" ht="15.75" customHeight="1" x14ac:dyDescent="0.3">
      <c r="A14" s="18" t="s">
        <v>22</v>
      </c>
      <c r="B14" s="18">
        <f>'Raw Data'!C13</f>
        <v>148</v>
      </c>
      <c r="C14" s="18">
        <f>'Raw Data'!D13</f>
        <v>150</v>
      </c>
      <c r="D14" s="18">
        <f>'Raw Data'!E13</f>
        <v>4.7</v>
      </c>
      <c r="E14" s="18">
        <f>'Raw Data'!F13</f>
        <v>5</v>
      </c>
      <c r="F14" s="18">
        <f>'Raw Data'!I13</f>
        <v>28</v>
      </c>
      <c r="G14" s="18">
        <f>'Raw Data'!J13</f>
        <v>30</v>
      </c>
      <c r="H14" s="18">
        <f>'Raw Data'!K13</f>
        <v>89</v>
      </c>
    </row>
    <row r="15" spans="1:12" ht="15.75" customHeight="1" x14ac:dyDescent="0.3">
      <c r="A15" s="16" t="s">
        <v>23</v>
      </c>
      <c r="B15" s="16">
        <f>'Raw Data'!C14</f>
        <v>134</v>
      </c>
      <c r="C15" s="16">
        <f>'Raw Data'!D14</f>
        <v>150</v>
      </c>
      <c r="D15" s="16">
        <f>'Raw Data'!E14</f>
        <v>5.0999999999999996</v>
      </c>
      <c r="E15" s="16">
        <f>'Raw Data'!F14</f>
        <v>5</v>
      </c>
      <c r="F15" s="16">
        <f>'Raw Data'!I14</f>
        <v>25</v>
      </c>
      <c r="G15" s="16">
        <f>'Raw Data'!J14</f>
        <v>30</v>
      </c>
      <c r="H15" s="16">
        <f>'Raw Data'!K14</f>
        <v>82</v>
      </c>
    </row>
    <row r="16" spans="1:12" ht="15.75" customHeight="1" x14ac:dyDescent="0.3">
      <c r="A16" s="18" t="s">
        <v>24</v>
      </c>
      <c r="B16" s="18">
        <f>'Raw Data'!C15</f>
        <v>128</v>
      </c>
      <c r="C16" s="18">
        <f>'Raw Data'!D15</f>
        <v>150</v>
      </c>
      <c r="D16" s="18">
        <f>'Raw Data'!E15</f>
        <v>5.4</v>
      </c>
      <c r="E16" s="18">
        <f>'Raw Data'!F15</f>
        <v>5</v>
      </c>
      <c r="F16" s="18">
        <f>'Raw Data'!I15</f>
        <v>24</v>
      </c>
      <c r="G16" s="18">
        <f>'Raw Data'!J15</f>
        <v>30</v>
      </c>
      <c r="H16" s="18">
        <f>'Raw Data'!K15</f>
        <v>79</v>
      </c>
    </row>
  </sheetData>
  <mergeCells count="2">
    <mergeCell ref="A1:L1"/>
    <mergeCell ref="A2:L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KPI Dashboard</vt:lpstr>
      <vt:lpstr>Trend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Silvio Serafin Filho</cp:lastModifiedBy>
  <cp:revision>1</cp:revision>
  <dcterms:created xsi:type="dcterms:W3CDTF">2026-04-22T17:36:00Z</dcterms:created>
  <dcterms:modified xsi:type="dcterms:W3CDTF">2026-04-22T18:02:41Z</dcterms:modified>
  <dc:language>en-US</dc:language>
</cp:coreProperties>
</file>